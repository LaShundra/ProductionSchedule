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fileSharing userName="LaShundra Davis" algorithmName="SHA-512" hashValue="cyCJDNX7D0mIhgAusNuzvrlsY1m9YW0viZWxB4kCWhOZswgFYX0kO0tXSWVuVLhAWgWTeYkgaKbtpZdSglUBQQ==" saltValue="uRkuRcvtqRYSq9jBygavYQ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ba5e34469449047/Documents/"/>
    </mc:Choice>
  </mc:AlternateContent>
  <xr:revisionPtr revIDLastSave="0" documentId="10_ncr:10000_{C2CC756E-5276-4711-BF99-59395AA1ED80}" xr6:coauthVersionLast="47" xr6:coauthVersionMax="47" xr10:uidLastSave="{00000000-0000-0000-0000-000000000000}"/>
  <bookViews>
    <workbookView xWindow="-120" yWindow="-120" windowWidth="38640" windowHeight="21120" tabRatio="599" xr2:uid="{A4DDEA24-2B95-4B9A-9DD2-FEF731933FD4}"/>
  </bookViews>
  <sheets>
    <sheet name="Schedule" sheetId="2" r:id="rId1"/>
    <sheet name="!Button Info!" sheetId="3" r:id="rId2"/>
    <sheet name="VARS" sheetId="4" r:id="rId3"/>
    <sheet name="Shipped_May_2024" sheetId="5" r:id="rId4"/>
    <sheet name="Shipped_Jun_2024" sheetId="6" r:id="rId5"/>
    <sheet name="Shipped_Jul_2024" sheetId="7" r:id="rId6"/>
  </sheets>
  <functionGroups builtInGroupCount="19"/>
  <definedNames>
    <definedName name="_xlnm._FilterDatabase" localSheetId="2" hidden="1">VARS!$AW$1:$AX$38</definedName>
    <definedName name="_xlnm.Print_Area" localSheetId="0">Schedule!$A$1:$BP$136</definedName>
    <definedName name="_xlnm.Print_Titles" localSheetId="0">Schedule!$6:$9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0" i="2" l="1"/>
  <c r="AQ89" i="2" l="1"/>
  <c r="V129" i="2"/>
  <c r="BQ8" i="2"/>
  <c r="BQ9" i="2" s="1"/>
  <c r="V80" i="2"/>
  <c r="V32" i="2" l="1"/>
  <c r="V45" i="2" l="1"/>
  <c r="V30" i="2"/>
  <c r="BP8" i="2"/>
  <c r="BP9" i="2" s="1"/>
  <c r="V105" i="2"/>
  <c r="V81" i="2"/>
  <c r="V14" i="2"/>
  <c r="V53" i="2"/>
  <c r="V44" i="2"/>
  <c r="V128" i="2"/>
  <c r="V117" i="2"/>
  <c r="V88" i="2"/>
  <c r="V51" i="2"/>
  <c r="V46" i="2"/>
  <c r="V115" i="2"/>
  <c r="V31" i="2" l="1"/>
  <c r="V27" i="2"/>
  <c r="BO8" i="2"/>
  <c r="BO9" i="2" s="1"/>
  <c r="V59" i="2"/>
  <c r="V10" i="2"/>
  <c r="V48" i="2"/>
  <c r="V84" i="2" l="1"/>
  <c r="V24" i="2"/>
  <c r="V50" i="2"/>
  <c r="V86" i="2"/>
  <c r="V28" i="2"/>
  <c r="V22" i="2"/>
  <c r="V26" i="2"/>
  <c r="V21" i="2"/>
  <c r="BN8" i="2"/>
  <c r="BN9" i="2" s="1"/>
  <c r="AQ73" i="2"/>
  <c r="V11" i="2"/>
  <c r="V36" i="2"/>
  <c r="V106" i="2"/>
  <c r="V66" i="2"/>
  <c r="V64" i="2"/>
  <c r="V49" i="2"/>
  <c r="V29" i="2"/>
  <c r="V19" i="2"/>
  <c r="V20" i="2"/>
  <c r="V18" i="2"/>
  <c r="V38" i="2"/>
  <c r="V15" i="2"/>
  <c r="V25" i="2"/>
  <c r="V12" i="2"/>
  <c r="V13" i="2"/>
  <c r="BM8" i="2"/>
  <c r="BM9" i="2" s="1"/>
  <c r="BL8" i="2"/>
  <c r="BL9" i="2" s="1"/>
  <c r="BK8" i="2" l="1"/>
  <c r="BK9" i="2" s="1"/>
  <c r="BJ8" i="2" l="1"/>
  <c r="BJ9" i="2" s="1"/>
  <c r="BI8" i="2" l="1"/>
  <c r="BI9" i="2" s="1"/>
  <c r="AM8" i="2"/>
  <c r="AM9" i="2" s="1"/>
  <c r="AU8" i="2"/>
  <c r="AU9" i="2" s="1"/>
  <c r="BH8" i="2"/>
  <c r="BH9" i="2" s="1"/>
  <c r="BG8" i="2"/>
  <c r="BG9" i="2" s="1"/>
  <c r="BF8" i="2"/>
  <c r="BF9" i="2" s="1"/>
  <c r="BE8" i="2"/>
  <c r="BE9" i="2" s="1"/>
  <c r="BD8" i="2"/>
  <c r="BD9" i="2" s="1"/>
  <c r="BC8" i="2"/>
  <c r="BC9" i="2" s="1"/>
  <c r="BB8" i="2"/>
  <c r="BB9" i="2" s="1"/>
  <c r="BA8" i="2"/>
  <c r="BA9" i="2" s="1"/>
  <c r="AZ8" i="2"/>
  <c r="AZ9" i="2" s="1"/>
  <c r="AY8" i="2"/>
  <c r="AY9" i="2" s="1"/>
  <c r="AX8" i="2"/>
  <c r="AX9" i="2" s="1"/>
  <c r="AW8" i="2"/>
  <c r="AW9" i="2" s="1"/>
  <c r="AV8" i="2"/>
  <c r="AV9" i="2" s="1"/>
  <c r="AT8" i="2"/>
  <c r="AT9" i="2" s="1"/>
  <c r="AS8" i="2"/>
  <c r="AS9" i="2" s="1"/>
  <c r="AR8" i="2"/>
  <c r="AR9" i="2" s="1"/>
  <c r="AQ8" i="2"/>
  <c r="AQ9" i="2" s="1"/>
  <c r="AP8" i="2"/>
  <c r="AP9" i="2" s="1"/>
  <c r="AO8" i="2"/>
  <c r="AO9" i="2" s="1"/>
  <c r="AN8" i="2"/>
  <c r="AN9" i="2" s="1"/>
  <c r="AL8" i="2"/>
  <c r="AL9" i="2" s="1"/>
</calcChain>
</file>

<file path=xl/sharedStrings.xml><?xml version="1.0" encoding="utf-8"?>
<sst xmlns="http://schemas.openxmlformats.org/spreadsheetml/2006/main" count="3964" uniqueCount="1102">
  <si>
    <t>PROJECT NUMBER</t>
  </si>
  <si>
    <t>Project Lead</t>
  </si>
  <si>
    <t>Salesman</t>
  </si>
  <si>
    <t>Buyer</t>
  </si>
  <si>
    <t>EET</t>
  </si>
  <si>
    <t>MFG Lead</t>
  </si>
  <si>
    <t>KACE Ticket</t>
  </si>
  <si>
    <t>Customer</t>
  </si>
  <si>
    <t>Task Description</t>
  </si>
  <si>
    <t>PO#</t>
  </si>
  <si>
    <t>MFG KICKOFF DATE</t>
  </si>
  <si>
    <t>PARTS REQUEST DATE</t>
  </si>
  <si>
    <t>MFG START DATE</t>
  </si>
  <si>
    <t>ASSEMBLY END DATE</t>
  </si>
  <si>
    <t>WIRING END DATE</t>
  </si>
  <si>
    <t>PANEL DROP DATE</t>
  </si>
  <si>
    <t>2ND WIRING END DATE</t>
  </si>
  <si>
    <t>F.I./MFG DONE DATE</t>
  </si>
  <si>
    <t>F.A.T. TYPE</t>
  </si>
  <si>
    <t>F.A.T. DATE</t>
  </si>
  <si>
    <t>CRATE COMPLETE DATE</t>
  </si>
  <si>
    <t>ORIGINAL SHIP DATE</t>
  </si>
  <si>
    <t>REVISED SHIP DATE</t>
  </si>
  <si>
    <t>ONSITE DATE</t>
  </si>
  <si>
    <t>DRAWING STATUS</t>
  </si>
  <si>
    <t>PART STATUS</t>
  </si>
  <si>
    <t>PROJECT STATUS</t>
  </si>
  <si>
    <t>COMMENTS</t>
  </si>
  <si>
    <t>Date Entered</t>
  </si>
  <si>
    <t>IFF DWG RELEASE DATE</t>
  </si>
  <si>
    <t>Cart Close Out</t>
  </si>
  <si>
    <t>PKG STATUS</t>
  </si>
  <si>
    <t>Capacity Hours</t>
  </si>
  <si>
    <t>Booked Hours</t>
  </si>
  <si>
    <t>Available Hours</t>
  </si>
  <si>
    <t>Yes</t>
  </si>
  <si>
    <t>No</t>
  </si>
  <si>
    <t>LD</t>
  </si>
  <si>
    <t>UL508A</t>
  </si>
  <si>
    <t>TBR</t>
  </si>
  <si>
    <t>PKG</t>
  </si>
  <si>
    <t>Add New Project</t>
  </si>
  <si>
    <t>Delete Project</t>
  </si>
  <si>
    <t>Sort</t>
  </si>
  <si>
    <t>Increment Labor Weeks</t>
  </si>
  <si>
    <t>Ship</t>
  </si>
  <si>
    <t>Split Shipment</t>
  </si>
  <si>
    <t>Labor Hours</t>
  </si>
  <si>
    <t>Project Status</t>
  </si>
  <si>
    <t>Parts Status</t>
  </si>
  <si>
    <t>Customers</t>
  </si>
  <si>
    <t>Fat Types</t>
  </si>
  <si>
    <t>Yes Or No</t>
  </si>
  <si>
    <t>New Project Emails</t>
  </si>
  <si>
    <t>Shipped emails</t>
  </si>
  <si>
    <t>Dropped</t>
  </si>
  <si>
    <t>Anheuser Busch</t>
  </si>
  <si>
    <t>Client</t>
  </si>
  <si>
    <t>Ready</t>
  </si>
  <si>
    <t>In Assembly</t>
  </si>
  <si>
    <t>Customer Supplied</t>
  </si>
  <si>
    <t>APS</t>
  </si>
  <si>
    <t>CTA</t>
  </si>
  <si>
    <t>Being Reviewed</t>
  </si>
  <si>
    <t>In FI</t>
  </si>
  <si>
    <t xml:space="preserve">Need To Order </t>
  </si>
  <si>
    <t>BASF Corp.</t>
  </si>
  <si>
    <t>DG</t>
  </si>
  <si>
    <t>Completed</t>
  </si>
  <si>
    <t>In Wiring</t>
  </si>
  <si>
    <t>Part Shortage</t>
  </si>
  <si>
    <t>Bayer</t>
  </si>
  <si>
    <t>None</t>
  </si>
  <si>
    <t>Need CAD</t>
  </si>
  <si>
    <t>Partial BOM Ordered</t>
  </si>
  <si>
    <t>Chruch &amp; Dwight</t>
  </si>
  <si>
    <t>Other</t>
  </si>
  <si>
    <t>Need Parts</t>
  </si>
  <si>
    <t>Parts Here</t>
  </si>
  <si>
    <t>Coca-Cola</t>
  </si>
  <si>
    <t>Picture</t>
  </si>
  <si>
    <t>Ready For FAT</t>
  </si>
  <si>
    <t>Parts Ordered</t>
  </si>
  <si>
    <t>ConAgra</t>
  </si>
  <si>
    <t>Video</t>
  </si>
  <si>
    <t>Ready to Crate</t>
  </si>
  <si>
    <t>Crown Cork &amp; Seal</t>
  </si>
  <si>
    <t>Ready To Ship</t>
  </si>
  <si>
    <t>Dairy Conveyor</t>
  </si>
  <si>
    <t>Shipped</t>
  </si>
  <si>
    <t>Diageo</t>
  </si>
  <si>
    <t>Waiting on parts</t>
  </si>
  <si>
    <t>DMT-CGS</t>
  </si>
  <si>
    <t>Hold Shipment</t>
  </si>
  <si>
    <t>Eli Lilly</t>
  </si>
  <si>
    <t>French-Mark Andy</t>
  </si>
  <si>
    <t>Gallo</t>
  </si>
  <si>
    <t>GFX</t>
  </si>
  <si>
    <t>Gojo</t>
  </si>
  <si>
    <t>HP Hood</t>
  </si>
  <si>
    <t>ICC/MillerCoors</t>
  </si>
  <si>
    <t>Kens Foods</t>
  </si>
  <si>
    <t>Lamb Weston</t>
  </si>
  <si>
    <t>Leprino</t>
  </si>
  <si>
    <t>McCain Foods</t>
  </si>
  <si>
    <t>MillerCoors</t>
  </si>
  <si>
    <t>Mueller Industries</t>
  </si>
  <si>
    <t>Nason Creek</t>
  </si>
  <si>
    <t>Neff Press</t>
  </si>
  <si>
    <t>Nestle Purina Clinton</t>
  </si>
  <si>
    <t>Nestle Purina MCB</t>
  </si>
  <si>
    <t>Nestle Waters</t>
  </si>
  <si>
    <t>NPPC</t>
  </si>
  <si>
    <t>Paramont Pictures</t>
  </si>
  <si>
    <t>PBC</t>
  </si>
  <si>
    <t>Pepsi</t>
  </si>
  <si>
    <t>Pet Terra</t>
  </si>
  <si>
    <t>Pneumatic Scale</t>
  </si>
  <si>
    <t>Quantum/Kraft</t>
  </si>
  <si>
    <t>Sutter Home</t>
  </si>
  <si>
    <t>Tesla</t>
  </si>
  <si>
    <t>TI</t>
  </si>
  <si>
    <t>Toyota</t>
  </si>
  <si>
    <t>Unilever</t>
  </si>
  <si>
    <t>Westrock</t>
  </si>
  <si>
    <t>Woodbridge Winery</t>
  </si>
  <si>
    <t>Project Lead Names</t>
  </si>
  <si>
    <t>Manufacturing Lead</t>
  </si>
  <si>
    <t>MFG Lead Name</t>
  </si>
  <si>
    <t>MFG Lead Emails</t>
  </si>
  <si>
    <t>Electrical Engineering Technician (EET)</t>
  </si>
  <si>
    <t>EET Names</t>
  </si>
  <si>
    <t>EET Emails</t>
  </si>
  <si>
    <t>Salesman Name</t>
  </si>
  <si>
    <t>Salesmen Email</t>
  </si>
  <si>
    <t>Buyer Name</t>
  </si>
  <si>
    <t>Buyer Emails</t>
  </si>
  <si>
    <t>CERTIFICATIONS</t>
  </si>
  <si>
    <t>Pkg Status</t>
  </si>
  <si>
    <t>Drawing Status</t>
  </si>
  <si>
    <t>AP</t>
  </si>
  <si>
    <t>JC</t>
  </si>
  <si>
    <t>DS</t>
  </si>
  <si>
    <t>UL</t>
  </si>
  <si>
    <t>CAD</t>
  </si>
  <si>
    <t>AS-BUILT</t>
  </si>
  <si>
    <t>BR</t>
  </si>
  <si>
    <t>PD</t>
  </si>
  <si>
    <t>Done</t>
  </si>
  <si>
    <t>MFG RELEASED</t>
  </si>
  <si>
    <t>CSA</t>
  </si>
  <si>
    <t>Review / Ethan</t>
  </si>
  <si>
    <t>NEED DRAWINGS</t>
  </si>
  <si>
    <t>EJ</t>
  </si>
  <si>
    <t>NO</t>
  </si>
  <si>
    <t>Review / Reilly</t>
  </si>
  <si>
    <t>UNDER REVIEW</t>
  </si>
  <si>
    <t>SS</t>
  </si>
  <si>
    <t>UL698A</t>
  </si>
  <si>
    <t>Review / Perez</t>
  </si>
  <si>
    <t>UPDATING</t>
  </si>
  <si>
    <t>KT</t>
  </si>
  <si>
    <t>LaShundra Davis</t>
  </si>
  <si>
    <t>BB</t>
  </si>
  <si>
    <t>NEC Only</t>
  </si>
  <si>
    <t>Review / Rose</t>
  </si>
  <si>
    <t>BK</t>
  </si>
  <si>
    <t>CE</t>
  </si>
  <si>
    <t>PKG-Ethan</t>
  </si>
  <si>
    <t>PKG-Rose</t>
  </si>
  <si>
    <t>PKG-Mclenna</t>
  </si>
  <si>
    <t>PKG-Perez</t>
  </si>
  <si>
    <t>PKG-Reilly</t>
  </si>
  <si>
    <t>TBR-Ethan</t>
  </si>
  <si>
    <t>TBR-Review</t>
  </si>
  <si>
    <t>TBR-Perez</t>
  </si>
  <si>
    <t>TBR-Reilly</t>
  </si>
  <si>
    <t>TBR-Rose</t>
  </si>
  <si>
    <t>TBR-DGCHN</t>
  </si>
  <si>
    <t>Kace Link</t>
  </si>
  <si>
    <t>Project Folder/Kace Links</t>
  </si>
  <si>
    <t>This button will delete a selected project from the production schedule.</t>
  </si>
  <si>
    <t>This button has 8 options to sort the production schedule.</t>
  </si>
  <si>
    <t>This button will delete the previous week and add another week at the end in 7 day increments with the workweek date starting on a Monday.</t>
  </si>
  <si>
    <t xml:space="preserve">This button will move the selected project to a ship tab for the current month. If a current month tab does not exist, it will create it. </t>
  </si>
  <si>
    <t>This button will copy the selected project to a ship tab and allow you to notate what items are being shipped and what items are remaining to be shipped.</t>
  </si>
  <si>
    <t>This button will calculate labor hours. This will not input on to production schedule.</t>
  </si>
  <si>
    <t>This button will add a new project as well as any additional tasks/sub-tasks to the production schedule.</t>
  </si>
  <si>
    <t>Kace Ticket</t>
  </si>
  <si>
    <t>IFF DWG Release Date</t>
  </si>
  <si>
    <t>Engineering Review Date</t>
  </si>
  <si>
    <t>MFG Kickoff Date</t>
  </si>
  <si>
    <t>Parts Request Date</t>
  </si>
  <si>
    <t>MFG Start Date</t>
  </si>
  <si>
    <t>Assembly End Date</t>
  </si>
  <si>
    <t>Wiring End Date</t>
  </si>
  <si>
    <t>Panel Drop Date</t>
  </si>
  <si>
    <t>2nd Wiring End Date</t>
  </si>
  <si>
    <t>F.I. /MFG Done Date</t>
  </si>
  <si>
    <t>F.A.T. Type</t>
  </si>
  <si>
    <t>F.A.T. Date</t>
  </si>
  <si>
    <t>Crate Complete Date</t>
  </si>
  <si>
    <t>Original Ship Date</t>
  </si>
  <si>
    <t>Revised Ship Date</t>
  </si>
  <si>
    <t>Onsite Date</t>
  </si>
  <si>
    <t>PKG Status</t>
  </si>
  <si>
    <t>Part Status</t>
  </si>
  <si>
    <t>Comments</t>
  </si>
  <si>
    <t>Column Header</t>
  </si>
  <si>
    <t>MFG View</t>
  </si>
  <si>
    <t>Meeting View</t>
  </si>
  <si>
    <t>Project Lead View</t>
  </si>
  <si>
    <t xml:space="preserve"> DLH View</t>
  </si>
  <si>
    <t>A</t>
  </si>
  <si>
    <t>X Project  (Y/N)</t>
  </si>
  <si>
    <t>Field Parts (Y/N)</t>
  </si>
  <si>
    <t>Email (Gets Every Time for new Projects &amp; shipped)</t>
  </si>
  <si>
    <t xml:space="preserve">Project Lead EMAILS </t>
  </si>
  <si>
    <t>Project Accountant View</t>
  </si>
  <si>
    <t>X Proj (Y/N)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</si>
  <si>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</si>
  <si>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</si>
  <si>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</si>
  <si>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</si>
  <si>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</si>
  <si>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</si>
  <si>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</si>
  <si>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</si>
  <si>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</si>
  <si>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</si>
  <si>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</si>
  <si>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</si>
  <si>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</si>
  <si>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</si>
  <si>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</si>
  <si>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</si>
  <si>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</si>
  <si>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</si>
  <si>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</si>
  <si>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</si>
  <si>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</si>
  <si>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</si>
  <si>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</si>
  <si>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</si>
  <si>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</si>
  <si>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</si>
  <si>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</si>
  <si>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</si>
  <si>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</si>
  <si>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</si>
  <si>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</si>
  <si>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</si>
  <si>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Plenty Unlimited</t>
  </si>
  <si>
    <t>CP037698</t>
  </si>
  <si>
    <t>2302196A-300</t>
  </si>
  <si>
    <t>Mars Wrigley</t>
  </si>
  <si>
    <t>2302196A-301</t>
  </si>
  <si>
    <t>Project Folder Link</t>
  </si>
  <si>
    <t>CP037747</t>
  </si>
  <si>
    <t>2302743-10</t>
  </si>
  <si>
    <t>Nestle Purina</t>
  </si>
  <si>
    <t>Nestle USA</t>
  </si>
  <si>
    <t>2401462-10</t>
  </si>
  <si>
    <t>HVAC Replacement</t>
  </si>
  <si>
    <t>(x3) RIO Panels / (x3) VFD Panels / (x3) Control Panel / (x3) OP Panels / (x6) CST's / (x3) TB's</t>
  </si>
  <si>
    <t>Budgeted DLH</t>
  </si>
  <si>
    <t>Shipper</t>
  </si>
  <si>
    <t>Tracking</t>
  </si>
  <si>
    <t>Additional Notes</t>
  </si>
  <si>
    <t>Date Shipped</t>
  </si>
  <si>
    <t>Empire National Inc</t>
  </si>
  <si>
    <t>Via FLI</t>
  </si>
  <si>
    <t>Titan Quality Transport Inc</t>
  </si>
  <si>
    <t>Schedule View</t>
  </si>
  <si>
    <t>This will hide specific columns for different views. To adjust which columns to hide, this is located on the "VARS" tab.</t>
  </si>
  <si>
    <t>CERT</t>
  </si>
  <si>
    <t>2400936-10</t>
  </si>
  <si>
    <t>3022-1115-031</t>
  </si>
  <si>
    <t>Amazon</t>
  </si>
  <si>
    <t>Phoenix Cement Co</t>
  </si>
  <si>
    <t>Penta Indsutrial</t>
  </si>
  <si>
    <t>2301859-308</t>
  </si>
  <si>
    <t>PDX195 EPMS - Phase 9</t>
  </si>
  <si>
    <t>2301859-305</t>
  </si>
  <si>
    <t>PDX195 EPMS - Phase 6</t>
  </si>
  <si>
    <t>2301859-306</t>
  </si>
  <si>
    <t>PDX195 EPMS - Phase 7</t>
  </si>
  <si>
    <t>2301859-307</t>
  </si>
  <si>
    <t>PDX195 EPMS - Phase 8</t>
  </si>
  <si>
    <t>Shipping request sent to FLI</t>
  </si>
  <si>
    <t>FLi</t>
  </si>
  <si>
    <t>Carrier: Ivak Logistics</t>
  </si>
  <si>
    <t>FLI</t>
  </si>
  <si>
    <t>Elanco</t>
  </si>
  <si>
    <t>2302873-10</t>
  </si>
  <si>
    <t>Delta V Charms Panel</t>
  </si>
  <si>
    <t>2202875P1V1-301</t>
  </si>
  <si>
    <t>(x2) MCC Buckets</t>
  </si>
  <si>
    <t>NA</t>
  </si>
  <si>
    <t>Coperion K-Tron</t>
  </si>
  <si>
    <t>2401032-10</t>
  </si>
  <si>
    <t>P377025-00</t>
  </si>
  <si>
    <t>Clorox</t>
  </si>
  <si>
    <t>2302511B-300</t>
  </si>
  <si>
    <t>(x1) CP / (x12) JBoxes / (x2) CST's</t>
  </si>
  <si>
    <t>Kraft Heinz</t>
  </si>
  <si>
    <t>2303193-304</t>
  </si>
  <si>
    <t>(x3) CP's</t>
  </si>
  <si>
    <t>Carrier: Midos Trucking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</si>
  <si>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</si>
  <si>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</si>
  <si>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</si>
  <si>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</si>
  <si>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</si>
  <si>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</si>
  <si>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</si>
  <si>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</si>
  <si>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</si>
  <si>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</si>
  <si>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</si>
  <si>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</si>
  <si>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</si>
  <si>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</si>
  <si>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</si>
  <si>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</si>
  <si>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</si>
  <si>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</si>
  <si>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</si>
  <si>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</si>
  <si>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</si>
  <si>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</si>
  <si>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</si>
  <si>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</si>
  <si>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</si>
  <si>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</si>
  <si>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</si>
  <si>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</si>
  <si>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</si>
  <si>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</si>
  <si>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</si>
  <si>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</si>
  <si>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</si>
  <si>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</si>
  <si>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</si>
  <si>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</si>
  <si>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</si>
  <si>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</si>
  <si>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</si>
  <si>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</si>
  <si>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</si>
  <si>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</si>
  <si>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</si>
  <si>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</si>
  <si>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</si>
  <si>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</si>
  <si>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</si>
  <si>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</si>
  <si>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</si>
  <si>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</si>
  <si>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</si>
  <si>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BC</t>
  </si>
  <si>
    <t>BD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</si>
  <si>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</si>
  <si>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</si>
  <si>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</si>
  <si>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</si>
  <si>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</si>
  <si>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</si>
  <si>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</si>
  <si>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</si>
  <si>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</si>
  <si>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BP</t>
  </si>
  <si>
    <t>BQ</t>
  </si>
  <si>
    <t>Column Letter</t>
  </si>
  <si>
    <t>BL</t>
  </si>
  <si>
    <t>Boxes under pallet racking</t>
  </si>
  <si>
    <t>Panel DCO-500 shipping to Wisconsin; the other 2 panels to Minnesota</t>
  </si>
  <si>
    <t>PBNA Laurel</t>
  </si>
  <si>
    <t>2401066S1-300</t>
  </si>
  <si>
    <t>(x2) CST's / Field Parts</t>
  </si>
  <si>
    <t xml:space="preserve">Missing 889DSF8ABDM15 and 889MSM12AH2 cables - 6/3 and 5/28 ETA </t>
  </si>
  <si>
    <t>2401226-10</t>
  </si>
  <si>
    <t>2301693-10</t>
  </si>
  <si>
    <t>2303140-300</t>
  </si>
  <si>
    <t>FLI / XPO</t>
  </si>
  <si>
    <t>558-254826</t>
  </si>
  <si>
    <t>558-254830</t>
  </si>
  <si>
    <t>558-254815 / 558-254804</t>
  </si>
  <si>
    <t>Stark Industries</t>
  </si>
  <si>
    <t>2300866-307-01</t>
  </si>
  <si>
    <t>CMH092 EPMS Phase 8</t>
  </si>
  <si>
    <t>Plus One Robotics</t>
  </si>
  <si>
    <t>2300332-313</t>
  </si>
  <si>
    <t>(x1) 2001282-PNL-PPO-Rev2</t>
  </si>
  <si>
    <t>95801 / 558-254852</t>
  </si>
  <si>
    <t>PROJECT
NUMBER</t>
  </si>
  <si>
    <t>ONSITE
DATE</t>
  </si>
  <si>
    <t>2400238P2-10</t>
  </si>
  <si>
    <t>Sentri 1 / Sentri 2 Panels</t>
  </si>
  <si>
    <t>Reynolds</t>
  </si>
  <si>
    <t>2302862-300</t>
  </si>
  <si>
    <t>RCP - DX4 Upgrade</t>
  </si>
  <si>
    <t>2400065-10</t>
  </si>
  <si>
    <t>(x2) Fortress Boxes</t>
  </si>
  <si>
    <t>2400766-10</t>
  </si>
  <si>
    <t>(x4) Operator Panels</t>
  </si>
  <si>
    <t>2400643-10</t>
  </si>
  <si>
    <t>Advisor / Sentri 1 / Sentri 2 Panels</t>
  </si>
  <si>
    <t>2401000-10</t>
  </si>
  <si>
    <t>PLC Panel</t>
  </si>
  <si>
    <t>2401000-20</t>
  </si>
  <si>
    <t>2401000-30</t>
  </si>
  <si>
    <t>2401051-10</t>
  </si>
  <si>
    <t>CP8393 Fortress</t>
  </si>
  <si>
    <t>Mondelez Global LLC</t>
  </si>
  <si>
    <t>2303172-300</t>
  </si>
  <si>
    <t>CC-100 / PLC Panel</t>
  </si>
  <si>
    <t>2303172-301</t>
  </si>
  <si>
    <t>CC-400 / Heat Trace Panel 1</t>
  </si>
  <si>
    <t>2303172-302</t>
  </si>
  <si>
    <t>CC-500 / Heat Trace Panel 2</t>
  </si>
  <si>
    <t>Nufarm Americas</t>
  </si>
  <si>
    <t>2301510P1-300</t>
  </si>
  <si>
    <t>(x2) Flex IO Panels</t>
  </si>
  <si>
    <t>American Sugar Refineries</t>
  </si>
  <si>
    <t>2301185-300</t>
  </si>
  <si>
    <t>RC-MCP-510</t>
  </si>
  <si>
    <t>2303127-10</t>
  </si>
  <si>
    <t>(x5) Panels</t>
  </si>
  <si>
    <t>3022-0810-024</t>
  </si>
  <si>
    <t>2303054-10-01</t>
  </si>
  <si>
    <t>2303054-10-02</t>
  </si>
  <si>
    <t>2303054-10-03</t>
  </si>
  <si>
    <t>2303054-10-04</t>
  </si>
  <si>
    <t>2302079-302</t>
  </si>
  <si>
    <t xml:space="preserve">(x70) RIO Control Panel </t>
  </si>
  <si>
    <t>2400766-20</t>
  </si>
  <si>
    <t>(x1) Op Panel</t>
  </si>
  <si>
    <t>2400634A-301</t>
  </si>
  <si>
    <t>Stryten Energies</t>
  </si>
  <si>
    <t>PNL 500</t>
  </si>
  <si>
    <t>2400634A-302</t>
  </si>
  <si>
    <t>PNL 510 / PNL 520</t>
  </si>
  <si>
    <t>2400634A-303</t>
  </si>
  <si>
    <t>PNL 730 / PNL 740 / PNL 750</t>
  </si>
  <si>
    <t>2400634A-304</t>
  </si>
  <si>
    <t>Field Parts</t>
  </si>
  <si>
    <t>Intel/Gilbane</t>
  </si>
  <si>
    <t>2301833A-300</t>
  </si>
  <si>
    <t>2401032-11</t>
  </si>
  <si>
    <t>Scansteel Foodtech</t>
  </si>
  <si>
    <t>2301958-20</t>
  </si>
  <si>
    <t>(x20) Summing Boxes</t>
  </si>
  <si>
    <t>PO-23-1362-23-1372</t>
  </si>
  <si>
    <t>Batory</t>
  </si>
  <si>
    <t>2301782-305</t>
  </si>
  <si>
    <t>Soft Start Panel</t>
  </si>
  <si>
    <t>2301392B-300</t>
  </si>
  <si>
    <t>2301392B-301</t>
  </si>
  <si>
    <t>2301494P26-300</t>
  </si>
  <si>
    <t>DVC RIO Panel</t>
  </si>
  <si>
    <t>2302145-20</t>
  </si>
  <si>
    <t>(x4) TB Boxes</t>
  </si>
  <si>
    <t>McMarthy</t>
  </si>
  <si>
    <t>2300500-30</t>
  </si>
  <si>
    <t>McCarthy</t>
  </si>
  <si>
    <t>558-254896</t>
  </si>
  <si>
    <t>558-254885</t>
  </si>
  <si>
    <t>558-254874</t>
  </si>
  <si>
    <t>2400408-300</t>
  </si>
  <si>
    <t>2400020-100</t>
  </si>
  <si>
    <t>2400020-110</t>
  </si>
  <si>
    <t>1250M-MC0227</t>
  </si>
  <si>
    <t>New Testing Panel for FI</t>
  </si>
  <si>
    <t>N/A</t>
  </si>
  <si>
    <t>2302884-310</t>
  </si>
  <si>
    <t>PDX179 EPMS Phase 11</t>
  </si>
  <si>
    <t>2302884-311</t>
  </si>
  <si>
    <t>PDX179 EPMS Phase 12</t>
  </si>
  <si>
    <t>2301257-200</t>
  </si>
  <si>
    <t>2301859-309</t>
  </si>
  <si>
    <t>2301859-310</t>
  </si>
  <si>
    <t>2301859-311</t>
  </si>
  <si>
    <t>2400020-140</t>
  </si>
  <si>
    <t>2302079-303</t>
  </si>
  <si>
    <t>2302937S3-300</t>
  </si>
  <si>
    <t>PDX195 EPMS - Phase 10</t>
  </si>
  <si>
    <t>PDX195 EPMS - Phase 11</t>
  </si>
  <si>
    <t>PDX195 EPMS - Phase 12</t>
  </si>
  <si>
    <t>1250M-MC0225</t>
  </si>
  <si>
    <t>(x83) RIO Panels</t>
  </si>
  <si>
    <t>CST</t>
  </si>
  <si>
    <t>Prairie Farms</t>
  </si>
  <si>
    <t>2401316-10</t>
  </si>
  <si>
    <t>2302507P3-10</t>
  </si>
  <si>
    <t>PG&amp;E</t>
  </si>
  <si>
    <t>2401413-301</t>
  </si>
  <si>
    <t>2300866-310-01</t>
  </si>
  <si>
    <t>CMH092 EPMS Phase 11</t>
  </si>
  <si>
    <t>Reyes Coca-Cola</t>
  </si>
  <si>
    <t>2400715-300</t>
  </si>
  <si>
    <t>HEB</t>
  </si>
  <si>
    <t>2400408-301</t>
  </si>
  <si>
    <t>Ok to ship early, Export crate is here</t>
  </si>
  <si>
    <t>2400189-10</t>
  </si>
  <si>
    <t>Lilac Solutions</t>
  </si>
  <si>
    <t>2202708-302</t>
  </si>
  <si>
    <t>(x2) CP / (x2) Rio (Line 2)</t>
  </si>
  <si>
    <t>2202708-303</t>
  </si>
  <si>
    <t>(x2) CP (Line 3)</t>
  </si>
  <si>
    <t>Lhoist NA</t>
  </si>
  <si>
    <t>2401701-300</t>
  </si>
  <si>
    <t>2400254-10</t>
  </si>
  <si>
    <t>2302079A-300</t>
  </si>
  <si>
    <t>2300866-308-01</t>
  </si>
  <si>
    <t>CHH092 EPMS Phase 9</t>
  </si>
  <si>
    <t>2401525-10</t>
  </si>
  <si>
    <t>CP8102 / CO8207 / CO8208 / CP8223 / CP8309 / CP8310</t>
  </si>
  <si>
    <t>5/10/24
@ 9</t>
  </si>
  <si>
    <t>4/10/24
@ 10</t>
  </si>
  <si>
    <t>2302931-300</t>
  </si>
  <si>
    <t>VFD Boards 1 &amp; 2</t>
  </si>
  <si>
    <t>Field Service</t>
  </si>
  <si>
    <t>Control Panel</t>
  </si>
  <si>
    <t>Burt's Bees</t>
  </si>
  <si>
    <t>2301501-300</t>
  </si>
  <si>
    <t>2400020-150</t>
  </si>
  <si>
    <t>2303123-303</t>
  </si>
  <si>
    <t>2303123-304</t>
  </si>
  <si>
    <t>ICC/Heaven's Door Distillery</t>
  </si>
  <si>
    <t>2400638A-10</t>
  </si>
  <si>
    <t>Heaven's Door Panels</t>
  </si>
  <si>
    <t>22134-27</t>
  </si>
  <si>
    <t>2300866-309-01</t>
  </si>
  <si>
    <t>CMH092 EPMS Phase 10</t>
  </si>
  <si>
    <t>Phase 1 of 10</t>
  </si>
  <si>
    <t>Golden State Foods</t>
  </si>
  <si>
    <t>2401130-300</t>
  </si>
  <si>
    <t>Phase 1 of 8</t>
  </si>
  <si>
    <t>2101179A-300-01</t>
  </si>
  <si>
    <t>2101179A-300-02</t>
  </si>
  <si>
    <t>(x15) Panels</t>
  </si>
  <si>
    <t>2400489-301</t>
  </si>
  <si>
    <t>Phase 2 of 10</t>
  </si>
  <si>
    <t>2400489-302</t>
  </si>
  <si>
    <t>Phase 3 of 10</t>
  </si>
  <si>
    <t>2400222A-300</t>
  </si>
  <si>
    <t>2400222A-301</t>
  </si>
  <si>
    <t>2400222D-300</t>
  </si>
  <si>
    <t>2400222D-301</t>
  </si>
  <si>
    <t>2400687-301</t>
  </si>
  <si>
    <t>Phase 2 of 8</t>
  </si>
  <si>
    <t>2400687-302</t>
  </si>
  <si>
    <t>Freeport-McMoran Safford</t>
  </si>
  <si>
    <t>2400670-10</t>
  </si>
  <si>
    <t>2400489-303</t>
  </si>
  <si>
    <t>Phase 4 of 10</t>
  </si>
  <si>
    <t>2400489-304</t>
  </si>
  <si>
    <t>Phase 5 of 10</t>
  </si>
  <si>
    <t>2400687-303</t>
  </si>
  <si>
    <t>2400489-305</t>
  </si>
  <si>
    <t>Phase 6 of 10</t>
  </si>
  <si>
    <t>2400489-306</t>
  </si>
  <si>
    <t>IAD210 EPMS Phase 7 of 10</t>
  </si>
  <si>
    <t>2400687-304</t>
  </si>
  <si>
    <t>2400687-305</t>
  </si>
  <si>
    <t>2303123-305</t>
  </si>
  <si>
    <t>CMH093 EPMS Phase 6</t>
  </si>
  <si>
    <t>2303123-306</t>
  </si>
  <si>
    <t>CMH093 EPMS Phase 7</t>
  </si>
  <si>
    <t>2400489-307</t>
  </si>
  <si>
    <t>IAD210 EPMS Phase 8 of 10</t>
  </si>
  <si>
    <t>2400489-308</t>
  </si>
  <si>
    <t>IAD210 EPMS Phase 9 of 10</t>
  </si>
  <si>
    <t>2400687-306</t>
  </si>
  <si>
    <t>Phase 7 of 8</t>
  </si>
  <si>
    <t>2400687-307</t>
  </si>
  <si>
    <t>Phase 8 of 9</t>
  </si>
  <si>
    <t>2400489-309</t>
  </si>
  <si>
    <t>IAD210 EPMS Phase 10 of 10</t>
  </si>
  <si>
    <t>2303123-307</t>
  </si>
  <si>
    <t>CMH093 EPMS Phase 8</t>
  </si>
  <si>
    <t>2303123-308</t>
  </si>
  <si>
    <t>CMH093 EPMS Phase 9</t>
  </si>
  <si>
    <t>2303123-309</t>
  </si>
  <si>
    <t>CMH093 EPMS Phase 10</t>
  </si>
  <si>
    <t>2303123-310</t>
  </si>
  <si>
    <t>CMH093 EPMS Phase 11</t>
  </si>
  <si>
    <t>2303123-311</t>
  </si>
  <si>
    <t>CMH093 EPMS Phase 12</t>
  </si>
  <si>
    <t>3/22/24
@ 9</t>
  </si>
  <si>
    <t>10/27/23
@ 11</t>
  </si>
  <si>
    <t>5/16/24
@ 10</t>
  </si>
  <si>
    <t>4/12/24
@ 10</t>
  </si>
  <si>
    <t>4/29/24
@ 11</t>
  </si>
  <si>
    <t>Carrier: Landstar Ranger Inc</t>
  </si>
  <si>
    <t>CTA-Power Panel</t>
  </si>
  <si>
    <t>Quaker</t>
  </si>
  <si>
    <t>PO4102057494</t>
  </si>
  <si>
    <t>Carrier: Landstar Ranger Inc.</t>
  </si>
  <si>
    <t>558-254900</t>
  </si>
  <si>
    <t>558-254911</t>
  </si>
  <si>
    <t>2400020-160</t>
  </si>
  <si>
    <t>8/11/23
@ 930</t>
  </si>
  <si>
    <t>2/15/24
@ 1030</t>
  </si>
  <si>
    <t>4/29/24
@1030</t>
  </si>
  <si>
    <t>2400864-301</t>
  </si>
  <si>
    <t>781-861614</t>
  </si>
  <si>
    <t>781-861625</t>
  </si>
  <si>
    <t>(x4) RIO Panels / (x10) CST's / (x2) HMI</t>
  </si>
  <si>
    <t>2300866-311</t>
  </si>
  <si>
    <t>2401297-300</t>
  </si>
  <si>
    <t>Phase 3 of 8</t>
  </si>
  <si>
    <t>2002533P27-301</t>
  </si>
  <si>
    <t>(x47) CM Control Panels</t>
  </si>
  <si>
    <t>781-861651</t>
  </si>
  <si>
    <t>781-861363</t>
  </si>
  <si>
    <t>781-861640</t>
  </si>
  <si>
    <t>Split Ship Tasks Comment</t>
  </si>
  <si>
    <t>Remaining Tasks</t>
  </si>
  <si>
    <t>Keanes</t>
  </si>
  <si>
    <t>2301693P2-10-09, 2301693P2-10-10, 2301693P2-10-11, 2301693P2-10-12, 2301693P2-10-13, 2301693P2-10-22, 2301693P2-10-23, 2301693P2-10-24, 2301693P2-10-25, 2301693P2-10-26, 2301693P2-10-30, 2301693P2-10-31, 2301693P2-10-32, 2301693P2-10-40, 2301693P2-10-41, 2301693P2-10-01, 2301693P2-10-14, 2301693P2-10-27, 2301693P2-10-34, 2301693P2-10-43, 2301693P2-10-44, 2301693P2-10-04, 2301693P2-10-05, 2301693P2-10-08, 2301693P2-10-17, 2301693P2-10-18, 2301693P2-10-21, 2301693P2-10-29, 2301693P2-10-33, 2301693P2-10-36, 2301693P2-10-37, 2301693P2-10-38, 2301693P2-10-39, 2301693P2-10-46, 2301693P2-10-47, 2301693P2-10-48, 2301693P2-10-45, 2301693P2-10-02, 2301693P2-10-15, 2301693P2-10-28, 2301693P2-10-35, 2301693P2-10-42, 2301693P2-10-49</t>
  </si>
  <si>
    <t>2301693P2-10-03, 2301693P2-10-06, 2301693P2-10-16, 2301693P2-10-19</t>
  </si>
  <si>
    <t>2401135A-300</t>
  </si>
  <si>
    <t>6/31/24</t>
  </si>
  <si>
    <t>781-861684</t>
  </si>
  <si>
    <t>2401554-300</t>
  </si>
  <si>
    <t>ICC</t>
  </si>
  <si>
    <t>2401896-10</t>
  </si>
  <si>
    <t>(x1) HMI</t>
  </si>
  <si>
    <t>23169-01</t>
  </si>
  <si>
    <t>781-861695</t>
  </si>
  <si>
    <t>2302397B-300</t>
  </si>
  <si>
    <t>2302543EQ-300</t>
  </si>
  <si>
    <t>2302543EQ-301</t>
  </si>
  <si>
    <t>Do not ship early</t>
  </si>
  <si>
    <t>2401000-40</t>
  </si>
  <si>
    <t>2401000-50</t>
  </si>
  <si>
    <t>2401000-60</t>
  </si>
  <si>
    <t>2401000-70</t>
  </si>
  <si>
    <t>2401000-80</t>
  </si>
  <si>
    <t>6/12/24
@ 10</t>
  </si>
  <si>
    <t>T301 IO Panel IFF</t>
  </si>
  <si>
    <t>PO15597299</t>
  </si>
  <si>
    <t>(x13) Dough Mixing Skid Panels 2nd set</t>
  </si>
  <si>
    <t>(x13) Dough Mixing Skid Panels 3rd set</t>
  </si>
  <si>
    <t>(x13) Dough Mixing Skid Panels 4th set</t>
  </si>
  <si>
    <t>(x13) Dough Mixing Skid Panels 1st set</t>
  </si>
  <si>
    <t>Partially Crated</t>
  </si>
  <si>
    <t>PDX181 EPMS Phase 1 of 12</t>
  </si>
  <si>
    <t>US48398330</t>
  </si>
  <si>
    <t>2400866-301</t>
  </si>
  <si>
    <t>PDX181 EPMS Phase 2 of 12</t>
  </si>
  <si>
    <t>US48240422</t>
  </si>
  <si>
    <t>2400866-302</t>
  </si>
  <si>
    <t>PDX181 EPMS Phase 3 of 12</t>
  </si>
  <si>
    <t>US48240498</t>
  </si>
  <si>
    <t>2400866-303</t>
  </si>
  <si>
    <t>PDX181 EPMS Phase 4 of 12</t>
  </si>
  <si>
    <t>US48240420</t>
  </si>
  <si>
    <t>2400866-304</t>
  </si>
  <si>
    <t>PDX181 EPMS Phase 5 of 12</t>
  </si>
  <si>
    <t>US48240586</t>
  </si>
  <si>
    <t>2400866-305</t>
  </si>
  <si>
    <t>PDX181 EPMS Phase 6 of 12</t>
  </si>
  <si>
    <t>US48240626</t>
  </si>
  <si>
    <t>2400866-306</t>
  </si>
  <si>
    <t>PDX181 EPMS Phase 7 of 12</t>
  </si>
  <si>
    <t>US48240526</t>
  </si>
  <si>
    <t>2400866-307</t>
  </si>
  <si>
    <t>PDX181 EPMS Phase 8 of 12</t>
  </si>
  <si>
    <t>US48240455</t>
  </si>
  <si>
    <t>2400866-308</t>
  </si>
  <si>
    <t>PDX181 EPMS Phase 9 of 12</t>
  </si>
  <si>
    <t>US48240561</t>
  </si>
  <si>
    <t>2400866-309</t>
  </si>
  <si>
    <t>PDX181 EPMS Phase 10 of 12</t>
  </si>
  <si>
    <t>US248240428</t>
  </si>
  <si>
    <t>2400866-310</t>
  </si>
  <si>
    <t>PDX181 EPMS Phase 11 of 12</t>
  </si>
  <si>
    <t>US48240705</t>
  </si>
  <si>
    <t>2400866-311</t>
  </si>
  <si>
    <t>PDX181 EPMS Phase 12 of 12</t>
  </si>
  <si>
    <t>US48240501</t>
  </si>
  <si>
    <t>6/14/2024
6/26/2024</t>
  </si>
  <si>
    <t>Dedicated Truck</t>
  </si>
  <si>
    <t>558-254970</t>
  </si>
  <si>
    <t>Total Quality Logistics</t>
  </si>
  <si>
    <t>Client procured dedicated shipment</t>
  </si>
  <si>
    <t>2301239A-300</t>
  </si>
  <si>
    <t>302-055</t>
  </si>
  <si>
    <t>(x1) Door RIO-405</t>
  </si>
  <si>
    <t>2401694-301</t>
  </si>
  <si>
    <t>558-254992</t>
  </si>
  <si>
    <t>XPO / FLI</t>
  </si>
  <si>
    <t>781-861706</t>
  </si>
  <si>
    <t>781-861710</t>
  </si>
  <si>
    <t>781-861721</t>
  </si>
  <si>
    <t>(x1) 2-Door Control Panel w/Motor Control (CP035414-4)</t>
  </si>
  <si>
    <t>(x1) PLC Panel (CP8390)</t>
  </si>
  <si>
    <t>(x3) HMI</t>
  </si>
  <si>
    <t>(x1) 2 Door Panel</t>
  </si>
  <si>
    <t>(x1) Control Panel (Panel Replacement)</t>
  </si>
  <si>
    <t>(x2) PLC / (x11) Control Panel
(x1) ModBus Gateway Panel</t>
  </si>
  <si>
    <t>(x25) TB Boxes</t>
  </si>
  <si>
    <t>(x4) CP Rio Panels (trough boxes) (x15) TB Boxes</t>
  </si>
  <si>
    <t>(x1) Skid Panel</t>
  </si>
  <si>
    <t>(x1) Drive Panel</t>
  </si>
  <si>
    <t>Must ship dedicated</t>
  </si>
  <si>
    <t>781-861732</t>
  </si>
  <si>
    <t>781-861743</t>
  </si>
  <si>
    <t>6/27/24
@ 1030</t>
  </si>
  <si>
    <t>558-254944 </t>
  </si>
  <si>
    <t>Keane's</t>
  </si>
  <si>
    <t>Direct Delivery</t>
  </si>
  <si>
    <t>781-861745</t>
  </si>
  <si>
    <t>FLI / Empire National Inc</t>
  </si>
  <si>
    <t>Dedicated Van</t>
  </si>
  <si>
    <t>2401243-10</t>
  </si>
  <si>
    <t>240323-086279</t>
  </si>
  <si>
    <t>6/18/24
@930</t>
  </si>
  <si>
    <t>6/12/24
@ 9</t>
  </si>
  <si>
    <t>6/12/24
@ 930</t>
  </si>
  <si>
    <t>(x1) 2 Door Enclosure
(x1) HMI Pedestal</t>
  </si>
  <si>
    <t>Agilix part ETA 6/21</t>
  </si>
  <si>
    <t>2202932-301</t>
  </si>
  <si>
    <t>US48183196</t>
  </si>
  <si>
    <t>Pase 2 of 8</t>
  </si>
  <si>
    <t>US48183202</t>
  </si>
  <si>
    <t>Phase 1 of  8</t>
  </si>
  <si>
    <t>2202932-302</t>
  </si>
  <si>
    <t>TBD</t>
  </si>
  <si>
    <t>2202932-303</t>
  </si>
  <si>
    <t>Phase 4 of 8</t>
  </si>
  <si>
    <t>2202932-304</t>
  </si>
  <si>
    <t>Phase 5 of 8</t>
  </si>
  <si>
    <t>2202932-305</t>
  </si>
  <si>
    <t>Phase 6 of 8</t>
  </si>
  <si>
    <t>2202932-306</t>
  </si>
  <si>
    <t>2202932-307</t>
  </si>
  <si>
    <t>Phase 8 of 8</t>
  </si>
  <si>
    <t>ENG REVIEW DATE</t>
  </si>
  <si>
    <t>(x2) CP's / B3 Pack Line SES Enclosure</t>
  </si>
  <si>
    <t>(x2) Panels / CPDAT1 PLC - MCB</t>
  </si>
  <si>
    <t>(x2) Panels / CPDAT1 PLC - JFR</t>
  </si>
  <si>
    <t>(x2) Panels / CPDAT1 PLC - FLG</t>
  </si>
  <si>
    <t>(x2) Panels / CPDAT1 PLC - DNK</t>
  </si>
  <si>
    <t>(x2) Panels / CPDAT1 PLC - DAV</t>
  </si>
  <si>
    <t>6/12-6/19
7/2-7/3</t>
  </si>
  <si>
    <t>2300512C-300</t>
  </si>
  <si>
    <t>Albertsons</t>
  </si>
  <si>
    <t>2401287-300</t>
  </si>
  <si>
    <t>AC0155833</t>
  </si>
  <si>
    <t>(x1) 2 Door Panel
PNL-500</t>
  </si>
  <si>
    <t>(x24 JBoxes)
Cell Safety</t>
  </si>
  <si>
    <t>6/17/24
@ 1030</t>
  </si>
  <si>
    <t>2400828-300</t>
  </si>
  <si>
    <t>(x2) PLC 1 Door Panel</t>
  </si>
  <si>
    <t>(x1) Main Panel</t>
  </si>
  <si>
    <t>2400766-30</t>
  </si>
  <si>
    <t>DUPLEX 6 (x2) 2-door panels (x4) CST</t>
  </si>
  <si>
    <t>2400866-312</t>
  </si>
  <si>
    <t>DUPLEX 6
Lighting Interlock Panel</t>
  </si>
  <si>
    <t>(x12) ship 6/19/24; (x10) ship 6/7/24; (x33) ship 5/1/24; (x15) ship 4/12/24</t>
  </si>
  <si>
    <t>(x11) ship 6/19/24</t>
  </si>
  <si>
    <t>(x1) 2 door / (x7) CST's
(x2) HMI Pedestals</t>
  </si>
  <si>
    <t>2400489-310</t>
  </si>
  <si>
    <t>2400687-308</t>
  </si>
  <si>
    <t>2202932-308</t>
  </si>
  <si>
    <t>(x) 2 Door Panel
1250M-MC0226</t>
  </si>
  <si>
    <t>(x1) 2 Door Panel
1250M-MC0229</t>
  </si>
  <si>
    <t>(x1) Control Panel / (x1) PLC Panel (x2) VFD Panel</t>
  </si>
  <si>
    <t>DUPLEX 2 (x2) 2-door panels
(x4) CST</t>
  </si>
  <si>
    <t>DUPLEX 3 (x2) 2-door panels
(x4) CST</t>
  </si>
  <si>
    <t>(x1) Panel / (x1) HMI
(x6) CST's /  (x2) JB's</t>
  </si>
  <si>
    <t>DUPLEX 4 (x2) 2-door panels
(x4) CST</t>
  </si>
  <si>
    <t>DUPLEX 5 (x2) 2-door panels
(x4) CST</t>
  </si>
  <si>
    <t>FujiFilm</t>
  </si>
  <si>
    <t>2300614A-300</t>
  </si>
  <si>
    <t>2401637-301</t>
  </si>
  <si>
    <t>US49043764</t>
  </si>
  <si>
    <t>2401637-302</t>
  </si>
  <si>
    <t>2401637-303</t>
  </si>
  <si>
    <t>2401637-304</t>
  </si>
  <si>
    <t>2401637-305</t>
  </si>
  <si>
    <t>2401637-306</t>
  </si>
  <si>
    <t>2401637-307</t>
  </si>
  <si>
    <t>2401637-308</t>
  </si>
  <si>
    <t>113223 </t>
  </si>
  <si>
    <t>6/22/2024
6/27/24</t>
  </si>
  <si>
    <t>6/28/2024
8/14/2024</t>
  </si>
  <si>
    <t>FLI / Trucks LLC</t>
  </si>
  <si>
    <t>Dedicated</t>
  </si>
  <si>
    <t>(x11) RIO panels</t>
  </si>
  <si>
    <t>(x72) RIO Panels</t>
  </si>
  <si>
    <t>2400935-302</t>
  </si>
  <si>
    <t>INCOG BioPharma</t>
  </si>
  <si>
    <t>(x29) ETA 6/28/24;
(x11) ship 6/19/24</t>
  </si>
  <si>
    <t>Field Parts Only</t>
  </si>
  <si>
    <t>Same day delivery in St. Louis</t>
  </si>
  <si>
    <t>Ship with Duplex 2 panels on project 2400305-300</t>
  </si>
  <si>
    <t>2400935-300</t>
  </si>
  <si>
    <t>Hormel</t>
  </si>
  <si>
    <t>Review / Camryn</t>
  </si>
  <si>
    <t>PKG-Camryn</t>
  </si>
  <si>
    <t>6/28/24
@ 930</t>
  </si>
  <si>
    <t>Ship dedicated per Andrew</t>
  </si>
  <si>
    <t>Air Land and Sea / Lia Express</t>
  </si>
  <si>
    <t>FLI / Empire National Inc.</t>
  </si>
  <si>
    <t>BOL 0114339</t>
  </si>
  <si>
    <t>2300546P2-300</t>
  </si>
  <si>
    <t>(x3) Panels</t>
  </si>
  <si>
    <t>M412159596</t>
  </si>
  <si>
    <t>781-861776</t>
  </si>
  <si>
    <t>6/26/24
@11</t>
  </si>
  <si>
    <t>6/24/24
@ 11</t>
  </si>
  <si>
    <t>6/28/24
@ 10</t>
  </si>
  <si>
    <t>2400305-300-01</t>
  </si>
  <si>
    <t>2401691-300-01</t>
  </si>
  <si>
    <t>2400305-300-02</t>
  </si>
  <si>
    <t>2401691-300-02</t>
  </si>
  <si>
    <t>2400305-300-03</t>
  </si>
  <si>
    <t>2401691-300-03</t>
  </si>
  <si>
    <t>2400305-300-04</t>
  </si>
  <si>
    <t>2401691-300-04</t>
  </si>
  <si>
    <t>2400305-300-05</t>
  </si>
  <si>
    <t>2401691-300-05</t>
  </si>
  <si>
    <t>Ship with project
2400305-300-02</t>
  </si>
  <si>
    <t>Ship with project
2401691-300</t>
  </si>
  <si>
    <t>Do not ship early; get with Ethan about FAT</t>
  </si>
  <si>
    <t>2402148-10</t>
  </si>
  <si>
    <t>(x1) PLC Panel
(x1) RIO Panel</t>
  </si>
  <si>
    <t>6/28/24
@ 1030</t>
  </si>
  <si>
    <t>On Hold</t>
  </si>
  <si>
    <t>Hold Shipment / Need ETA for customer supplied parts</t>
  </si>
  <si>
    <t>781-861780</t>
  </si>
  <si>
    <t>781-861791</t>
  </si>
  <si>
    <t>7/1/24
@ 10</t>
  </si>
  <si>
    <t>(x2) Remote IO Panels</t>
  </si>
  <si>
    <t>Ship when done</t>
  </si>
  <si>
    <t>The Dana Companies</t>
  </si>
  <si>
    <t>2402280-300</t>
  </si>
  <si>
    <t>06242024TH</t>
  </si>
  <si>
    <t>(x1) DUPLEX 2
Lighting Interlock Panel</t>
  </si>
  <si>
    <t>(x1) DUPLEX 3
Lighting Interlock Panel</t>
  </si>
  <si>
    <t>(x1) DUPLEX 4
Lighting Interlock Panel</t>
  </si>
  <si>
    <t>(x1) DUPLEX 5
Lighting Interlock Panel</t>
  </si>
  <si>
    <t>Same Day Delivery</t>
  </si>
  <si>
    <t>(x6 ) CST's / Field Parts</t>
  </si>
  <si>
    <t>(x1) Purge Panel</t>
  </si>
  <si>
    <t>6/19 Returned; 5/20 Shipped out for CE testing</t>
  </si>
  <si>
    <t>7/2/24
@1030</t>
  </si>
  <si>
    <t>7/1/24
@10</t>
  </si>
  <si>
    <t>7/10/24
@ 10</t>
  </si>
  <si>
    <t>(x1) HV Panel
(x1) LV Panel</t>
  </si>
  <si>
    <t>2401442-302</t>
  </si>
  <si>
    <t>2401442-303</t>
  </si>
  <si>
    <t>(x5) JB's</t>
  </si>
  <si>
    <t>(x2) 1 door/(x4) 2 door/(x6) JBs/(x4) HMIs/(x1) PLC/(x6) HMI Pedestals</t>
  </si>
  <si>
    <t xml:space="preserve">X Project </t>
  </si>
  <si>
    <t>781-861813</t>
  </si>
  <si>
    <t>781-861802</t>
  </si>
  <si>
    <t>(x1) 4 door backpan only / (x1) 2 door backpan only</t>
  </si>
  <si>
    <t>(x19) 1/2 amp CB  ETA 7/15</t>
  </si>
  <si>
    <t>(x1) Control Panel
(x1) Remote Panel</t>
  </si>
  <si>
    <t>(x1) Remote Control Panel</t>
  </si>
  <si>
    <t>ATS Automation</t>
  </si>
  <si>
    <t>2402321-10</t>
  </si>
  <si>
    <t>On Semiconductor</t>
  </si>
  <si>
    <t>2303174-300</t>
  </si>
  <si>
    <t>FLI / Landstar</t>
  </si>
  <si>
    <t>(x29) RIO Panels</t>
  </si>
  <si>
    <t>(x43) Remaining Panels</t>
  </si>
  <si>
    <r>
      <t>(x43) Remaining 
(</t>
    </r>
    <r>
      <rPr>
        <strike/>
        <sz val="11"/>
        <color theme="1"/>
        <rFont val="Aptos Narrow"/>
        <family val="2"/>
        <scheme val="minor"/>
      </rPr>
      <t>x83</t>
    </r>
    <r>
      <rPr>
        <sz val="11"/>
        <color theme="1"/>
        <rFont val="Aptos Narrow"/>
        <family val="2"/>
        <scheme val="minor"/>
      </rPr>
      <t>) RIO Panels</t>
    </r>
  </si>
  <si>
    <t>The Haskell Company</t>
  </si>
  <si>
    <t>2400734-10</t>
  </si>
  <si>
    <t>3801146330-009</t>
  </si>
  <si>
    <t>Express Scripts</t>
  </si>
  <si>
    <t>2401485-300</t>
  </si>
  <si>
    <t>(x1) Remote I/O Panel PNL-504</t>
  </si>
  <si>
    <t>2402192-10</t>
  </si>
  <si>
    <t>781-861872</t>
  </si>
  <si>
    <t>781-861835</t>
  </si>
  <si>
    <t>781-861824</t>
  </si>
  <si>
    <t>781-861850</t>
  </si>
  <si>
    <t>781-861846</t>
  </si>
  <si>
    <t>2002533P26-301-01</t>
  </si>
  <si>
    <t>2002533P26-301-02</t>
  </si>
  <si>
    <t>(x2) Panels / Field Parts</t>
  </si>
  <si>
    <t>Tranco Global</t>
  </si>
  <si>
    <t>SSEAAE022798</t>
  </si>
  <si>
    <t>International shipment arranged by customer</t>
  </si>
  <si>
    <t>(x1) PLC Panel</t>
  </si>
  <si>
    <t>2302956-301</t>
  </si>
  <si>
    <t>(x3) RIO Panels</t>
  </si>
  <si>
    <t>2302956-302</t>
  </si>
  <si>
    <t>(x5) SP Panels</t>
  </si>
  <si>
    <t>2302956-303</t>
  </si>
  <si>
    <t>(x7) HMI's</t>
  </si>
  <si>
    <t>OK to ship when ready</t>
  </si>
  <si>
    <t>(x15) Panels; (x9) IJB Panels
(x6) IPP Box, assembly only</t>
  </si>
  <si>
    <t>7/11/24
@ 10</t>
  </si>
  <si>
    <t>7/11/24
@ 1030</t>
  </si>
  <si>
    <t>7/11/24
@ 11</t>
  </si>
  <si>
    <t>7/9/2024
@ 9</t>
  </si>
  <si>
    <t>7/10/2024
@ 930</t>
  </si>
  <si>
    <t>2402191-300</t>
  </si>
  <si>
    <t>Nutranext</t>
  </si>
  <si>
    <t>(x1) VFD Panel</t>
  </si>
  <si>
    <t>2402191-301</t>
  </si>
  <si>
    <t>(x2) CST's (x4) JB's</t>
  </si>
  <si>
    <t>Pan &amp; Encl ETA 7/24</t>
  </si>
  <si>
    <t>Curium</t>
  </si>
  <si>
    <t>2302198-300</t>
  </si>
  <si>
    <t>(x1) 4-Door, (x2) HMI no Pedestal, (x2) HMI Pedestal, (x3) 1-Hole CSTs, (x20) 2-Hole CSTs, (x1) 9-Hole CST</t>
  </si>
  <si>
    <t>781-861883</t>
  </si>
  <si>
    <t>2401649-10</t>
  </si>
  <si>
    <t>P381089 - 00</t>
  </si>
  <si>
    <t>Encl EDS (task 160) 8/9</t>
  </si>
  <si>
    <t>(x1) RIO Panel</t>
  </si>
  <si>
    <t>Texas Instruments</t>
  </si>
  <si>
    <t>2401119-300</t>
  </si>
  <si>
    <t>EPI-Etch Network Panels</t>
  </si>
  <si>
    <t>ASAP</t>
  </si>
  <si>
    <t>781-861894</t>
  </si>
  <si>
    <t>split shipment</t>
  </si>
  <si>
    <t>2400254-10-02</t>
  </si>
  <si>
    <t>2400254-10-01</t>
  </si>
  <si>
    <t>3/1/2024
8/9/24</t>
  </si>
  <si>
    <t>(x2) Maverick IDF Network Enclosures</t>
  </si>
  <si>
    <t>F.I. / MFG DONE DATE</t>
  </si>
  <si>
    <t>IDF Panel, DG to build</t>
  </si>
  <si>
    <t>Need to reorder encl</t>
  </si>
  <si>
    <t>7/16/24
1030</t>
  </si>
  <si>
    <t>781-861905</t>
  </si>
  <si>
    <t>(x4) Identical OP Panels</t>
  </si>
  <si>
    <t>7/15/24
10</t>
  </si>
  <si>
    <t>(x13) Identical HMI (OP) Panels</t>
  </si>
  <si>
    <t>7/15/24
1030</t>
  </si>
  <si>
    <t>(x27) HRT Line 4 Panels</t>
  </si>
  <si>
    <t>2401413-300</t>
  </si>
  <si>
    <t>(x1) Field Junction Box</t>
  </si>
  <si>
    <t>Keane's Same Day Delivery</t>
  </si>
  <si>
    <t>(x1) Replacement door</t>
  </si>
  <si>
    <r>
      <rPr>
        <b/>
        <sz val="11"/>
        <color theme="1"/>
        <rFont val="Aptos Narrow"/>
        <family val="2"/>
        <scheme val="minor"/>
      </rPr>
      <t xml:space="preserve">Client needs ASAP </t>
    </r>
    <r>
      <rPr>
        <sz val="11"/>
        <color theme="1"/>
        <rFont val="Aptos Narrow"/>
        <family val="2"/>
        <scheme val="minor"/>
      </rPr>
      <t>/ AC ETA 7/24</t>
    </r>
  </si>
  <si>
    <t>Ordered against task 307</t>
  </si>
  <si>
    <t>Ship dedicated / Transformer ESD 7/22/Fuse cover due 7/15 via UPS</t>
  </si>
  <si>
    <t>Field parts list in Kace</t>
  </si>
  <si>
    <t>Ok to ship early</t>
  </si>
  <si>
    <t>Ok to ship early, LTL</t>
  </si>
  <si>
    <t>(x2) Small Control Panels</t>
  </si>
  <si>
    <t>Ship ASAP</t>
  </si>
  <si>
    <t>(x3) Crates CMH093 EPMS Phase 5</t>
  </si>
  <si>
    <t>(x3) Crates CMH093 EPMS Phase 4</t>
  </si>
  <si>
    <t>(x3) Crates CMH092 EPMS Phase 12</t>
  </si>
  <si>
    <t>Arizona-10</t>
  </si>
  <si>
    <t>Arizona / Nestle Field Service</t>
  </si>
  <si>
    <t>At Risk - All parts are customer supplied</t>
  </si>
  <si>
    <t>FLI / P &amp; B Logistics Inc</t>
  </si>
  <si>
    <t>BOL 442602</t>
  </si>
  <si>
    <t>781-861942</t>
  </si>
  <si>
    <t>78-861916</t>
  </si>
  <si>
    <t>781-861920</t>
  </si>
  <si>
    <t>781-861931</t>
  </si>
  <si>
    <t>2302956B-300</t>
  </si>
  <si>
    <t>VFD Panel</t>
  </si>
  <si>
    <t>2401690-300</t>
  </si>
  <si>
    <t>IO 503 Panel</t>
  </si>
  <si>
    <t>PO15644282</t>
  </si>
  <si>
    <t>(x1) Control Panel</t>
  </si>
  <si>
    <t>7/16 Encl in Assembly</t>
  </si>
  <si>
    <t>7/17/24
830</t>
  </si>
  <si>
    <t>Encl needs completed</t>
  </si>
  <si>
    <t>(x4) Identical Wall Mounts</t>
  </si>
  <si>
    <t>ETA Encl (x2) 1 door 8/16/24 / (x4) 2 door 7/24/24</t>
  </si>
  <si>
    <t>7/14/24
9</t>
  </si>
  <si>
    <t>2401383-300</t>
  </si>
  <si>
    <t>2401446-301</t>
  </si>
  <si>
    <t>Phase 1 of 12</t>
  </si>
  <si>
    <t>US49439232</t>
  </si>
  <si>
    <t>2401446-302</t>
  </si>
  <si>
    <t>Phase 2 of 12</t>
  </si>
  <si>
    <t>US49439225</t>
  </si>
  <si>
    <t>2401446-303</t>
  </si>
  <si>
    <t>Phase 3 of 12</t>
  </si>
  <si>
    <t>US49439235</t>
  </si>
  <si>
    <t>2401446-304</t>
  </si>
  <si>
    <t>Phase 4 of 12</t>
  </si>
  <si>
    <t>US49439231</t>
  </si>
  <si>
    <t>2401446-305</t>
  </si>
  <si>
    <t>Phase 5 of 12</t>
  </si>
  <si>
    <t>US49439217</t>
  </si>
  <si>
    <t>2401446-306</t>
  </si>
  <si>
    <t>Phase 6 of 12</t>
  </si>
  <si>
    <t>US49439234</t>
  </si>
  <si>
    <t>2401446-307</t>
  </si>
  <si>
    <t>Phase 7 of 12</t>
  </si>
  <si>
    <t>US49439223</t>
  </si>
  <si>
    <t>2401446-308</t>
  </si>
  <si>
    <t>Phase 8 of 12</t>
  </si>
  <si>
    <t>US49439251</t>
  </si>
  <si>
    <t>2401446-309</t>
  </si>
  <si>
    <t>Phase 9 of 12</t>
  </si>
  <si>
    <t>US49439218</t>
  </si>
  <si>
    <t>2401446-310</t>
  </si>
  <si>
    <t>Phase 10 of 12</t>
  </si>
  <si>
    <t>US49439221</t>
  </si>
  <si>
    <t>2401446-311</t>
  </si>
  <si>
    <t>Phase 11 of 12</t>
  </si>
  <si>
    <t>US49439233</t>
  </si>
  <si>
    <t>2401446-312</t>
  </si>
  <si>
    <t>Phase 12 of 12</t>
  </si>
  <si>
    <t>US49439249</t>
  </si>
  <si>
    <t>2401825-301</t>
  </si>
  <si>
    <t>US49343795</t>
  </si>
  <si>
    <t>2401825-302</t>
  </si>
  <si>
    <t>US49343783</t>
  </si>
  <si>
    <t>2401825-303</t>
  </si>
  <si>
    <t>US49343793</t>
  </si>
  <si>
    <t>2401825-304</t>
  </si>
  <si>
    <t>US49343787</t>
  </si>
  <si>
    <t>2401825-305</t>
  </si>
  <si>
    <t>US49343796</t>
  </si>
  <si>
    <t>2401825-306</t>
  </si>
  <si>
    <t>US49343801</t>
  </si>
  <si>
    <t>2401825-307</t>
  </si>
  <si>
    <t xml:space="preserve">US49343785 </t>
  </si>
  <si>
    <t>2401825-308</t>
  </si>
  <si>
    <t>US49343807</t>
  </si>
  <si>
    <t>2401825-309</t>
  </si>
  <si>
    <t>US49343786</t>
  </si>
  <si>
    <t>2401825-310</t>
  </si>
  <si>
    <t>US49343803</t>
  </si>
  <si>
    <t>2401825-311</t>
  </si>
  <si>
    <t>US49343784</t>
  </si>
  <si>
    <t>2401825-312</t>
  </si>
  <si>
    <t>US49343806</t>
  </si>
  <si>
    <t>(x3) MCP Panels
(x1) RCP Panel</t>
  </si>
  <si>
    <t>(x1) 4 door (backpan only)
(x1) 2 door (backpan only)</t>
  </si>
  <si>
    <t>Pallet Loop Panels
(backpan only)</t>
  </si>
  <si>
    <t>2402321-20</t>
  </si>
  <si>
    <t>Cub Panels</t>
  </si>
  <si>
    <t>Update Screen Worksheets</t>
  </si>
  <si>
    <t>This will update the department screen worksheets. Then you will need to update the powerpoints for each department.</t>
  </si>
  <si>
    <t>781-861953</t>
  </si>
  <si>
    <t>7/18 Panels to H&amp;H</t>
  </si>
  <si>
    <t>7/18/2024
@130</t>
  </si>
  <si>
    <t>(x29) ETA 6/28/24; (x11) ship 6/19/24</t>
  </si>
  <si>
    <t>(x72) Remaining; (x83) RIO Panels</t>
  </si>
  <si>
    <t>(x7) Panel Cutouts (Assembly Only)</t>
  </si>
  <si>
    <t>(x2) 2 Door Panels (PNL 500 / PNL 510)</t>
  </si>
  <si>
    <t>(x1) Panel (KL3-PNL-520 Lift Gate VFD Panel)</t>
  </si>
  <si>
    <t>7/18 Need to uncrate and make changes</t>
  </si>
  <si>
    <t>STL Field Service-10</t>
  </si>
  <si>
    <t>Emerson Field Service</t>
  </si>
  <si>
    <t>OK to ship early / Screen ETA 7/24</t>
  </si>
  <si>
    <t>Encl ETA 7/25</t>
  </si>
  <si>
    <t>(x8) Panels</t>
  </si>
  <si>
    <t>Change order + 6" legs 2-3 wk lead time (7 sets here) ETA 7/26</t>
  </si>
  <si>
    <t>(x 26) DDC Panels (Customer Supplier Parts Only)</t>
  </si>
  <si>
    <t>Ship w/ project 2401691-300-01</t>
  </si>
  <si>
    <t>ETA for packets 7/22</t>
  </si>
  <si>
    <t>Missing Buttons</t>
  </si>
  <si>
    <t>Missing power cables</t>
  </si>
  <si>
    <t>Need field parts list</t>
  </si>
  <si>
    <r>
      <t>(x1) Jbox to ship ASAP /</t>
    </r>
    <r>
      <rPr>
        <sz val="11"/>
        <color theme="1"/>
        <rFont val="Aptos Narrow"/>
        <family val="2"/>
        <scheme val="minor"/>
      </rPr>
      <t xml:space="preserve"> Waiting on TB Markers</t>
    </r>
  </si>
  <si>
    <t>(x8-x9) MCC's</t>
  </si>
  <si>
    <t>7/24/24
1030</t>
  </si>
  <si>
    <t>(x53) HMI Panels
Shipping 10/month; last shipment is 13</t>
  </si>
  <si>
    <t>At Risk: Valve ETA 8/15</t>
  </si>
  <si>
    <t>Remote panel in Assembly / No ETA for heat exchanger as of 7/18</t>
  </si>
  <si>
    <t>Per M Ripper, OK to ship</t>
  </si>
  <si>
    <t>7/18 Dedicated quote requested</t>
  </si>
  <si>
    <t>2401984NC-300</t>
  </si>
  <si>
    <t>(x4) HMI Panels</t>
  </si>
  <si>
    <t>Hold Shipment; 7/18 Panels to H&amp;H; 7/11 Some parts have 6 wk lead</t>
  </si>
  <si>
    <t>Would like to start wk of 7/22
Review due date is 7/19</t>
  </si>
  <si>
    <t>(x5) Identical META Panels</t>
  </si>
  <si>
    <t>(x28) Rectifier Panels
(x24) Type 4X Panels; (x4) Type 12 Panels</t>
  </si>
  <si>
    <t>Hold Shipment
Need HMI info</t>
  </si>
  <si>
    <t>7/11 Network cab-wiring; Assy waiting on (x2) 1290803 ETA 8/2</t>
  </si>
  <si>
    <t>Encl replacement due 7/22</t>
  </si>
  <si>
    <t>7/18 Dedicated truck requested</t>
  </si>
  <si>
    <t>CHN due date 7/16/24</t>
  </si>
  <si>
    <t>CHN due date 7/22/24</t>
  </si>
  <si>
    <t>CHN due date 7/22/24, morning</t>
  </si>
  <si>
    <t>CHN due date 7/23/24</t>
  </si>
  <si>
    <t>Treehouse</t>
  </si>
  <si>
    <t>2401746-300</t>
  </si>
  <si>
    <t>(x2) IO Panels</t>
  </si>
  <si>
    <t>2302612B-300</t>
  </si>
  <si>
    <t>2300332-314</t>
  </si>
  <si>
    <t>(x1) Panel</t>
  </si>
  <si>
    <t>Jaimon Coles</t>
  </si>
  <si>
    <t>Jaimondcoles@gmail.com</t>
  </si>
  <si>
    <t>Cleveland D Washington</t>
  </si>
  <si>
    <t>CW</t>
  </si>
  <si>
    <t>ClevelandDeShun@gmail.com</t>
  </si>
  <si>
    <t>LaShundraSDavis@ATT.NET</t>
  </si>
  <si>
    <t>z</t>
  </si>
  <si>
    <t>\\LAPTOP-IJ1JAUCJ</t>
  </si>
  <si>
    <t>https://Dummysite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</si>
</sst>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1"/>
      <color rgb="FFFFFF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6"/>
      <color indexed="1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"/>
      <family val="2"/>
    </font>
    <font>
      <sz val="10"/>
      <color rgb="FF333333"/>
      <name val="Arial"/>
      <family val="2"/>
    </font>
    <font>
      <strike/>
      <sz val="11"/>
      <color theme="1"/>
      <name val="Aptos Narrow"/>
      <family val="2"/>
      <scheme val="minor"/>
    </font>
    <font>
      <sz val="11.5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indexed="4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0" fillId="0" borderId="0" xfId="0" applyAlignment="1">
      <alignment horizontal="center"/>
    </xf>
    <xf numFmtId="16" fontId="4" fillId="5" borderId="1" xfId="0" applyNumberFormat="1" applyFont="1" applyFill="1" applyBorder="1" applyAlignment="1">
      <alignment horizontal="center"/>
    </xf>
    <xf numFmtId="0" fontId="7" fillId="0" borderId="1" xfId="2" applyFont="1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2"/>
    <xf numFmtId="0" fontId="8" fillId="0" borderId="0" xfId="2" applyFont="1"/>
    <xf numFmtId="0" fontId="5" fillId="0" borderId="0" xfId="1"/>
    <xf numFmtId="0" fontId="8" fillId="0" borderId="0" xfId="2" applyFont="1" applyAlignment="1">
      <alignment horizontal="center"/>
    </xf>
    <xf numFmtId="0" fontId="10" fillId="0" borderId="0" xfId="3" applyFont="1" applyAlignment="1" applyProtection="1"/>
    <xf numFmtId="0" fontId="7" fillId="0" borderId="1" xfId="2" applyFont="1" applyBorder="1" applyAlignment="1">
      <alignment horizontal="center"/>
    </xf>
    <xf numFmtId="0" fontId="10" fillId="0" borderId="0" xfId="3" applyFont="1" applyFill="1" applyAlignment="1" applyProtection="1"/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/>
    <xf numFmtId="14" fontId="0" fillId="0" borderId="1" xfId="0" applyNumberForma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11" fillId="0" borderId="0" xfId="0" applyFont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wrapText="1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 wrapText="1"/>
    </xf>
    <xf numFmtId="14" fontId="0" fillId="14" borderId="1" xfId="0" applyNumberFormat="1" applyFill="1" applyBorder="1" applyAlignment="1">
      <alignment horizontal="center"/>
    </xf>
    <xf numFmtId="0" fontId="14" fillId="8" borderId="0" xfId="0" applyFont="1" applyFill="1" applyAlignment="1">
      <alignment horizontal="left" wrapText="1"/>
    </xf>
    <xf numFmtId="0" fontId="0" fillId="0" borderId="0" xfId="0" applyAlignment="1">
      <alignment horizontal="left"/>
    </xf>
    <xf numFmtId="164" fontId="0" fillId="14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 wrapText="1"/>
    </xf>
    <xf numFmtId="0" fontId="0" fillId="14" borderId="1" xfId="0" applyFill="1" applyBorder="1" applyAlignment="1">
      <alignment horizontal="center"/>
    </xf>
    <xf numFmtId="0" fontId="5" fillId="14" borderId="1" xfId="1" applyFill="1" applyBorder="1" applyAlignment="1">
      <alignment horizontal="center"/>
    </xf>
    <xf numFmtId="14" fontId="0" fillId="15" borderId="1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15" fontId="0" fillId="15" borderId="1" xfId="0" applyNumberFormat="1" applyFill="1" applyBorder="1" applyAlignment="1">
      <alignment horizontal="center"/>
    </xf>
    <xf numFmtId="0" fontId="5" fillId="15" borderId="1" xfId="1" applyFill="1" applyBorder="1" applyAlignment="1">
      <alignment horizontal="center"/>
    </xf>
    <xf numFmtId="0" fontId="0" fillId="15" borderId="1" xfId="0" applyFill="1" applyBorder="1" applyAlignment="1">
      <alignment horizontal="center" wrapText="1"/>
    </xf>
    <xf numFmtId="164" fontId="0" fillId="15" borderId="1" xfId="0" applyNumberFormat="1" applyFill="1" applyBorder="1" applyAlignment="1">
      <alignment horizontal="center"/>
    </xf>
    <xf numFmtId="0" fontId="16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wrapText="1"/>
    </xf>
    <xf numFmtId="14" fontId="0" fillId="14" borderId="1" xfId="0" applyNumberFormat="1" applyFill="1" applyBorder="1" applyAlignment="1">
      <alignment horizontal="center" wrapText="1"/>
    </xf>
    <xf numFmtId="0" fontId="0" fillId="7" borderId="1" xfId="0" applyFill="1" applyBorder="1" applyAlignment="1">
      <alignment horizontal="center"/>
    </xf>
    <xf numFmtId="0" fontId="5" fillId="0" borderId="1" xfId="1" applyBorder="1" applyAlignment="1">
      <alignment horizontal="center" wrapText="1"/>
    </xf>
    <xf numFmtId="0" fontId="5" fillId="15" borderId="1" xfId="1" applyFill="1" applyBorder="1" applyAlignment="1">
      <alignment horizontal="center" wrapText="1"/>
    </xf>
    <xf numFmtId="16" fontId="0" fillId="14" borderId="1" xfId="0" applyNumberFormat="1" applyFill="1" applyBorder="1" applyAlignment="1">
      <alignment horizontal="center"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14" fontId="0" fillId="0" borderId="2" xfId="0" applyNumberFormat="1" applyBorder="1" applyAlignment="1">
      <alignment horizontal="center"/>
    </xf>
    <xf numFmtId="14" fontId="0" fillId="15" borderId="2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1" applyBorder="1" applyAlignment="1">
      <alignment horizontal="center" wrapText="1"/>
    </xf>
    <xf numFmtId="0" fontId="14" fillId="9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5" fillId="0" borderId="0" xfId="1" applyAlignment="1">
      <alignment horizontal="left"/>
    </xf>
    <xf numFmtId="14" fontId="0" fillId="0" borderId="0" xfId="0" applyNumberFormat="1" applyAlignment="1">
      <alignment horizontal="left"/>
    </xf>
    <xf numFmtId="0" fontId="17" fillId="0" borderId="0" xfId="0" applyFont="1" applyAlignment="1">
      <alignment horizontal="left"/>
    </xf>
    <xf numFmtId="164" fontId="0" fillId="16" borderId="1" xfId="0" applyNumberFormat="1" applyFill="1" applyBorder="1" applyAlignment="1">
      <alignment horizontal="center"/>
    </xf>
    <xf numFmtId="14" fontId="0" fillId="16" borderId="1" xfId="0" applyNumberFormat="1" applyFill="1" applyBorder="1" applyAlignment="1">
      <alignment horizontal="center"/>
    </xf>
    <xf numFmtId="0" fontId="5" fillId="0" borderId="0" xfId="1" applyAlignment="1">
      <alignment horizontal="center"/>
    </xf>
    <xf numFmtId="0" fontId="0" fillId="17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3" fillId="3" borderId="1" xfId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textRotation="90" wrapText="1"/>
    </xf>
    <xf numFmtId="0" fontId="12" fillId="3" borderId="1" xfId="0" applyFont="1" applyFill="1" applyBorder="1" applyAlignment="1">
      <alignment horizontal="center" vertical="center" textRotation="90" wrapText="1"/>
    </xf>
    <xf numFmtId="0" fontId="6" fillId="0" borderId="0" xfId="2" applyFont="1"/>
  </cellXfs>
  <cellStyles count="4">
    <cellStyle name="Hyperlink" xfId="1" builtinId="8"/>
    <cellStyle name="Hyperlink 2" xfId="3" xr:uid="{D51A2C57-912E-445C-B3A9-CDA63EDB41BF}"/>
    <cellStyle name="Normal" xfId="0" builtinId="0"/>
    <cellStyle name="Normal 2" xfId="2" xr:uid="{C546598F-F3C3-48FF-A1A9-05555E348FF9}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</xdr:row>
          <xdr:rowOff>19050</xdr:rowOff>
        </xdr:from>
        <xdr:to>
          <xdr:col>2</xdr:col>
          <xdr:colOff>219075</xdr:colOff>
          <xdr:row>3</xdr:row>
          <xdr:rowOff>152400</xdr:rowOff>
        </xdr:to>
        <xdr:sp macro="" textlink="">
          <xdr:nvSpPr>
            <xdr:cNvPr id="2049" name="cmdAddNewProj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171450</xdr:rowOff>
        </xdr:from>
        <xdr:to>
          <xdr:col>10</xdr:col>
          <xdr:colOff>895350</xdr:colOff>
          <xdr:row>3</xdr:row>
          <xdr:rowOff>123825</xdr:rowOff>
        </xdr:to>
        <xdr:sp macro="" textlink="">
          <xdr:nvSpPr>
            <xdr:cNvPr id="2050" name="cmdDeleteProj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</xdr:row>
          <xdr:rowOff>0</xdr:rowOff>
        </xdr:from>
        <xdr:to>
          <xdr:col>11</xdr:col>
          <xdr:colOff>1457325</xdr:colOff>
          <xdr:row>3</xdr:row>
          <xdr:rowOff>161925</xdr:rowOff>
        </xdr:to>
        <xdr:sp macro="" textlink="">
          <xdr:nvSpPr>
            <xdr:cNvPr id="2051" name="cmdSor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247650</xdr:colOff>
          <xdr:row>1</xdr:row>
          <xdr:rowOff>9525</xdr:rowOff>
        </xdr:from>
        <xdr:to>
          <xdr:col>40</xdr:col>
          <xdr:colOff>85725</xdr:colOff>
          <xdr:row>3</xdr:row>
          <xdr:rowOff>171450</xdr:rowOff>
        </xdr:to>
        <xdr:sp macro="" textlink="">
          <xdr:nvSpPr>
            <xdr:cNvPr id="2052" name="cmdIncrementLab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428625</xdr:colOff>
          <xdr:row>1</xdr:row>
          <xdr:rowOff>19050</xdr:rowOff>
        </xdr:from>
        <xdr:to>
          <xdr:col>30</xdr:col>
          <xdr:colOff>695325</xdr:colOff>
          <xdr:row>3</xdr:row>
          <xdr:rowOff>123825</xdr:rowOff>
        </xdr:to>
        <xdr:sp macro="" textlink="">
          <xdr:nvSpPr>
            <xdr:cNvPr id="2053" name="cmdShi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0</xdr:rowOff>
        </xdr:from>
        <xdr:to>
          <xdr:col>29</xdr:col>
          <xdr:colOff>190500</xdr:colOff>
          <xdr:row>3</xdr:row>
          <xdr:rowOff>152400</xdr:rowOff>
        </xdr:to>
        <xdr:sp macro="" textlink="">
          <xdr:nvSpPr>
            <xdr:cNvPr id="2054" name="cmdSplitShi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552450</xdr:colOff>
          <xdr:row>0</xdr:row>
          <xdr:rowOff>161925</xdr:rowOff>
        </xdr:from>
        <xdr:to>
          <xdr:col>35</xdr:col>
          <xdr:colOff>828675</xdr:colOff>
          <xdr:row>3</xdr:row>
          <xdr:rowOff>85725</xdr:rowOff>
        </xdr:to>
        <xdr:sp macro="" textlink="">
          <xdr:nvSpPr>
            <xdr:cNvPr id="2055" name="cmdLaborHour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1704975</xdr:colOff>
          <xdr:row>1</xdr:row>
          <xdr:rowOff>19050</xdr:rowOff>
        </xdr:from>
        <xdr:to>
          <xdr:col>11</xdr:col>
          <xdr:colOff>3019425</xdr:colOff>
          <xdr:row>4</xdr:row>
          <xdr:rowOff>19050</xdr:rowOff>
        </xdr:to>
        <xdr:sp macro="" textlink="">
          <xdr:nvSpPr>
            <xdr:cNvPr id="2057" name="cmdView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628650</xdr:colOff>
          <xdr:row>3</xdr:row>
          <xdr:rowOff>171450</xdr:rowOff>
        </xdr:to>
        <xdr:sp macro="" textlink="">
          <xdr:nvSpPr>
            <xdr:cNvPr id="2061" name="cmdUpdateDisplay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bwdgkace01.bwdesigngroup.com/userui/ticket.php?ID=112978" TargetMode="External"/><Relationship Id="rId299" Type="http://schemas.openxmlformats.org/officeDocument/2006/relationships/hyperlink" Target="https://bwdgkace01.bwdesigngroup.com/userui/ticket.php?ID=114114" TargetMode="External"/><Relationship Id="rId21" Type="http://schemas.openxmlformats.org/officeDocument/2006/relationships/hyperlink" Target="file:///\\10.100.34.9\bwdgrodata1\CTAProjdata\" TargetMode="External"/><Relationship Id="rId63" Type="http://schemas.openxmlformats.org/officeDocument/2006/relationships/hyperlink" Target="https://bwdgkace01.bwdesigngroup.com/userui/ticket.php?ID=106009" TargetMode="External"/><Relationship Id="rId159" Type="http://schemas.openxmlformats.org/officeDocument/2006/relationships/hyperlink" Target="file:///\\10.100.34.9\bwdgrodata1\CTAProjdata\" TargetMode="External"/><Relationship Id="rId324" Type="http://schemas.openxmlformats.org/officeDocument/2006/relationships/vmlDrawing" Target="../drawings/vmlDrawing1.vml"/><Relationship Id="rId170" Type="http://schemas.openxmlformats.org/officeDocument/2006/relationships/hyperlink" Target="file:///\\10.100.34.9\bwdgrodata1\CTAProjdata\" TargetMode="External"/><Relationship Id="rId226" Type="http://schemas.openxmlformats.org/officeDocument/2006/relationships/hyperlink" Target="https://bwdgkace01.bwdesigngroup.com/userui/ticket.php?ID=113672" TargetMode="External"/><Relationship Id="rId268" Type="http://schemas.openxmlformats.org/officeDocument/2006/relationships/hyperlink" Target="file:///\\10.100.34.9\bwdgrodata1\CTAProjdata\" TargetMode="External"/><Relationship Id="rId32" Type="http://schemas.openxmlformats.org/officeDocument/2006/relationships/hyperlink" Target="https://bwdgkace01.bwdesigngroup.com/userui/ticket.php?ID=107758" TargetMode="External"/><Relationship Id="rId74" Type="http://schemas.openxmlformats.org/officeDocument/2006/relationships/hyperlink" Target="https://bwdgkace01.bwdesigngroup.com/userui/ticket.php?ID=111090" TargetMode="External"/><Relationship Id="rId128" Type="http://schemas.openxmlformats.org/officeDocument/2006/relationships/hyperlink" Target="file:///\\10.100.34.9\bwdgrodata1\CTAProjdata\" TargetMode="External"/><Relationship Id="rId335" Type="http://schemas.openxmlformats.org/officeDocument/2006/relationships/control" Target="../activeX/activeX6.xml"/><Relationship Id="rId5" Type="http://schemas.openxmlformats.org/officeDocument/2006/relationships/hyperlink" Target="https://bwdgkace01.bwdesigngroup.com/userui/ticket.php?ID=111568" TargetMode="External"/><Relationship Id="rId181" Type="http://schemas.openxmlformats.org/officeDocument/2006/relationships/hyperlink" Target="https://bwdgkace01.bwdesigngroup.com/userui/ticket.php?ID=113222" TargetMode="External"/><Relationship Id="rId237" Type="http://schemas.openxmlformats.org/officeDocument/2006/relationships/hyperlink" Target="https://bwdgkace01.bwdesigngroup.com/userui/ticket.php?ID=113776" TargetMode="External"/><Relationship Id="rId279" Type="http://schemas.openxmlformats.org/officeDocument/2006/relationships/hyperlink" Target="https://bwdgkace01.bwdesigngroup.com/userui/ticket.php?ID=114104" TargetMode="External"/><Relationship Id="rId43" Type="http://schemas.openxmlformats.org/officeDocument/2006/relationships/hyperlink" Target="file:///\\10.100.34.9\bwdgrodata1\CTAProjdata\" TargetMode="External"/><Relationship Id="rId139" Type="http://schemas.openxmlformats.org/officeDocument/2006/relationships/hyperlink" Target="https://bwdgkace01.bwdesigngroup.com/userui/ticket.php?ID=112670" TargetMode="External"/><Relationship Id="rId290" Type="http://schemas.openxmlformats.org/officeDocument/2006/relationships/hyperlink" Target="file:///\\10.100.34.9\bwdgrodata1\CTAProjdata\" TargetMode="External"/><Relationship Id="rId304" Type="http://schemas.openxmlformats.org/officeDocument/2006/relationships/hyperlink" Target="file:///\\10.100.34.9\bwdgrodata1\CTAProjdata\" TargetMode="External"/><Relationship Id="rId85" Type="http://schemas.openxmlformats.org/officeDocument/2006/relationships/hyperlink" Target="https://bwdgkace01.bwdesigngroup.com/userui/ticket.php?ID=107550" TargetMode="External"/><Relationship Id="rId150" Type="http://schemas.openxmlformats.org/officeDocument/2006/relationships/hyperlink" Target="file:///\\10.100.34.9\bwdgrodata1\CTAProjdata\" TargetMode="External"/><Relationship Id="rId192" Type="http://schemas.openxmlformats.org/officeDocument/2006/relationships/hyperlink" Target="https://bwdgkace01.bwdesigngroup.com/userui/ticket.php?ID=113227" TargetMode="External"/><Relationship Id="rId206" Type="http://schemas.openxmlformats.org/officeDocument/2006/relationships/hyperlink" Target="file:///\\10.100.34.9\bwdgrodata1\CTAProjdata\" TargetMode="External"/><Relationship Id="rId248" Type="http://schemas.openxmlformats.org/officeDocument/2006/relationships/hyperlink" Target="file:///\\10.100.34.9\bwdgrodata1\CTAProjdata\" TargetMode="External"/><Relationship Id="rId12" Type="http://schemas.openxmlformats.org/officeDocument/2006/relationships/hyperlink" Target="https://bwdgkace01.bwdesigngroup.com/userui/ticket.php?ID=105531" TargetMode="External"/><Relationship Id="rId108" Type="http://schemas.openxmlformats.org/officeDocument/2006/relationships/hyperlink" Target="https://bwdgkace01.bwdesigngroup.com/userui/ticket.php?ID=112677" TargetMode="External"/><Relationship Id="rId315" Type="http://schemas.openxmlformats.org/officeDocument/2006/relationships/hyperlink" Target="file:///\\10.100.34.9\bwdgrodata1\CTAProjdata\" TargetMode="External"/><Relationship Id="rId54" Type="http://schemas.openxmlformats.org/officeDocument/2006/relationships/hyperlink" Target="https://bwdgkace01.bwdesigngroup.com/userui/ticket.php?ID=111491" TargetMode="External"/><Relationship Id="rId96" Type="http://schemas.openxmlformats.org/officeDocument/2006/relationships/hyperlink" Target="file:///\\10.100.34.9\bwdgrodata1\CTAProjdata\" TargetMode="External"/><Relationship Id="rId161" Type="http://schemas.openxmlformats.org/officeDocument/2006/relationships/hyperlink" Target="file:///\\10.100.34.9\bwdgrodata1\CTAProjdata\" TargetMode="External"/><Relationship Id="rId217" Type="http://schemas.openxmlformats.org/officeDocument/2006/relationships/hyperlink" Target="file:///\\10.100.34.9\bwdgrodata1\CTAProjdata\" TargetMode="External"/><Relationship Id="rId259" Type="http://schemas.openxmlformats.org/officeDocument/2006/relationships/hyperlink" Target="file:///\\10.100.34.9\bwdgrodata1\CTAProjdata\" TargetMode="External"/><Relationship Id="rId23" Type="http://schemas.openxmlformats.org/officeDocument/2006/relationships/hyperlink" Target="https://bwdgkace01.bwdesigngroup.com/userui/ticket.php?ID=107127" TargetMode="External"/><Relationship Id="rId119" Type="http://schemas.openxmlformats.org/officeDocument/2006/relationships/hyperlink" Target="https://bwdgkace01.bwdesigngroup.com/userui/ticket.php?ID=112981" TargetMode="External"/><Relationship Id="rId270" Type="http://schemas.openxmlformats.org/officeDocument/2006/relationships/hyperlink" Target="file:///\\10.100.34.9\bwdgrodata1\CTAProjdata\" TargetMode="External"/><Relationship Id="rId326" Type="http://schemas.openxmlformats.org/officeDocument/2006/relationships/image" Target="../media/image1.emf"/><Relationship Id="rId65" Type="http://schemas.openxmlformats.org/officeDocument/2006/relationships/hyperlink" Target="https://bwdgkace01.bwdesigngroup.com/userui/ticket.php?ID=111073" TargetMode="External"/><Relationship Id="rId130" Type="http://schemas.openxmlformats.org/officeDocument/2006/relationships/hyperlink" Target="file:///\\10.100.34.9\bwdgrodata1\CTAProjdata\" TargetMode="External"/><Relationship Id="rId172" Type="http://schemas.openxmlformats.org/officeDocument/2006/relationships/hyperlink" Target="file:///\\10.100.34.9\bwdgrodata1\CTAProjdata\" TargetMode="External"/><Relationship Id="rId228" Type="http://schemas.openxmlformats.org/officeDocument/2006/relationships/hyperlink" Target="file:///\\10.100.34.9\bwdgrodata1\CTAProjdata\" TargetMode="External"/><Relationship Id="rId281" Type="http://schemas.openxmlformats.org/officeDocument/2006/relationships/hyperlink" Target="https://bwdgkace01.bwdesigngroup.com/userui/ticket.php?ID=1140105" TargetMode="External"/><Relationship Id="rId337" Type="http://schemas.openxmlformats.org/officeDocument/2006/relationships/control" Target="../activeX/activeX7.xml"/><Relationship Id="rId34" Type="http://schemas.openxmlformats.org/officeDocument/2006/relationships/hyperlink" Target="https://bwdgkace01.bwdesigngroup.com/userui/ticket.php?ID=107045" TargetMode="External"/><Relationship Id="rId76" Type="http://schemas.openxmlformats.org/officeDocument/2006/relationships/hyperlink" Target="file:///\\10.100.34.9\bwdgrodata1\CTAProjdata\" TargetMode="External"/><Relationship Id="rId141" Type="http://schemas.openxmlformats.org/officeDocument/2006/relationships/hyperlink" Target="file:///\\10.100.34.9\bwdgrodata1\CTAProjdata\" TargetMode="External"/><Relationship Id="rId7" Type="http://schemas.openxmlformats.org/officeDocument/2006/relationships/hyperlink" Target="https://bwdgkace01.bwdesigngroup.com/userui/ticket.php?ID=111720" TargetMode="External"/><Relationship Id="rId183" Type="http://schemas.openxmlformats.org/officeDocument/2006/relationships/hyperlink" Target="file:///\\10.100.34.9\bwdgrodata1\CTAProjdata\" TargetMode="External"/><Relationship Id="rId239" Type="http://schemas.openxmlformats.org/officeDocument/2006/relationships/hyperlink" Target="https://bwdgkace01.bwdesigngroup.com/userui/ticket.php?ID=113776" TargetMode="External"/><Relationship Id="rId250" Type="http://schemas.openxmlformats.org/officeDocument/2006/relationships/hyperlink" Target="file:///\\10.100.34.9\bwdgrodata1\CTAProjdata\" TargetMode="External"/><Relationship Id="rId292" Type="http://schemas.openxmlformats.org/officeDocument/2006/relationships/hyperlink" Target="file:///\\10.100.34.9\bwdgrodata1\CTAProjdata\" TargetMode="External"/><Relationship Id="rId306" Type="http://schemas.openxmlformats.org/officeDocument/2006/relationships/hyperlink" Target="file:///\\10.100.34.9\bwdgrodata1\CTAProjdata\" TargetMode="External"/><Relationship Id="rId45" Type="http://schemas.openxmlformats.org/officeDocument/2006/relationships/hyperlink" Target="file:///\\10.100.34.9\bwdgrodata1\CTAProjdata\" TargetMode="External"/><Relationship Id="rId87" Type="http://schemas.openxmlformats.org/officeDocument/2006/relationships/hyperlink" Target="file:///\\10.100.34.9\bwdgrodata1\CTAProjdata\" TargetMode="External"/><Relationship Id="rId110" Type="http://schemas.openxmlformats.org/officeDocument/2006/relationships/hyperlink" Target="https://bwdgkace01.bwdesigngroup.com/userui/ticket.php?ID=112679" TargetMode="External"/><Relationship Id="rId152" Type="http://schemas.openxmlformats.org/officeDocument/2006/relationships/hyperlink" Target="file:///\\10.100.34.9\bwdgrodata1\CTAProjdata\" TargetMode="External"/><Relationship Id="rId194" Type="http://schemas.openxmlformats.org/officeDocument/2006/relationships/hyperlink" Target="https://bwdgkace01.bwdesigngroup.com/userui/ticket.php?ID=113229" TargetMode="External"/><Relationship Id="rId208" Type="http://schemas.openxmlformats.org/officeDocument/2006/relationships/hyperlink" Target="file:///\\10.100.34.9\bwdgrodata1\CTAProjdata\" TargetMode="External"/><Relationship Id="rId240" Type="http://schemas.openxmlformats.org/officeDocument/2006/relationships/hyperlink" Target="file:///\\10.100.34.9\bwdgrodata1\CTAProjdata\" TargetMode="External"/><Relationship Id="rId261" Type="http://schemas.openxmlformats.org/officeDocument/2006/relationships/hyperlink" Target="https://bwdgkace01.bwdesigngroup.com/userui/ticket.php?ID=114073" TargetMode="External"/><Relationship Id="rId14" Type="http://schemas.openxmlformats.org/officeDocument/2006/relationships/hyperlink" Target="https://bwdgkace01.bwdesigngroup.com/userui/ticket.php?ID=110167" TargetMode="External"/><Relationship Id="rId35" Type="http://schemas.openxmlformats.org/officeDocument/2006/relationships/hyperlink" Target="https://bwdgkace01.bwdesigngroup.com/userui/ticket.php?ID=97910" TargetMode="External"/><Relationship Id="rId56" Type="http://schemas.openxmlformats.org/officeDocument/2006/relationships/hyperlink" Target="https://bwdgkace01.bwdesigngroup.com/userui/ticket.php?ID=111084" TargetMode="External"/><Relationship Id="rId77" Type="http://schemas.openxmlformats.org/officeDocument/2006/relationships/hyperlink" Target="https://bwdgkace01.bwdesigngroup.com/userui/ticket.php?ID=107545" TargetMode="External"/><Relationship Id="rId100" Type="http://schemas.openxmlformats.org/officeDocument/2006/relationships/hyperlink" Target="https://bwdgkace01.bwdesigngroup.com/userui/ticket.php?ID=112543" TargetMode="External"/><Relationship Id="rId282" Type="http://schemas.openxmlformats.org/officeDocument/2006/relationships/hyperlink" Target="file:///\\10.100.34.9\bwdgrodata1\CTAProjdata\" TargetMode="External"/><Relationship Id="rId317" Type="http://schemas.openxmlformats.org/officeDocument/2006/relationships/hyperlink" Target="file:///\\10.100.34.9\bwdgrodata1\CTAProjdata\" TargetMode="External"/><Relationship Id="rId338" Type="http://schemas.openxmlformats.org/officeDocument/2006/relationships/image" Target="../media/image7.emf"/><Relationship Id="rId8" Type="http://schemas.openxmlformats.org/officeDocument/2006/relationships/hyperlink" Target="file:///\\10.100.34.9\bwdgrodata1\CTAProjdata\" TargetMode="External"/><Relationship Id="rId98" Type="http://schemas.openxmlformats.org/officeDocument/2006/relationships/hyperlink" Target="file:///\\10.100.34.9\bwdgrodata1\CTAProjdata\" TargetMode="External"/><Relationship Id="rId121" Type="http://schemas.openxmlformats.org/officeDocument/2006/relationships/hyperlink" Target="https://bwdgkace01.bwdesigngroup.com/userui/ticket.php?ID=112983" TargetMode="External"/><Relationship Id="rId142" Type="http://schemas.openxmlformats.org/officeDocument/2006/relationships/hyperlink" Target="file:///\\10.100.34.9\bwdgrodata1\CTAProjdata\" TargetMode="External"/><Relationship Id="rId163" Type="http://schemas.openxmlformats.org/officeDocument/2006/relationships/hyperlink" Target="file:///\\10.100.34.9\bwdgrodata1\CTAProjdata\" TargetMode="External"/><Relationship Id="rId184" Type="http://schemas.openxmlformats.org/officeDocument/2006/relationships/hyperlink" Target="file:///\\10.100.34.9\bwdgrodata1\CTAProjdata\" TargetMode="External"/><Relationship Id="rId219" Type="http://schemas.openxmlformats.org/officeDocument/2006/relationships/hyperlink" Target="file:///\\10.100.34.9\bwdgrodata1\CTAProjdata\" TargetMode="External"/><Relationship Id="rId230" Type="http://schemas.openxmlformats.org/officeDocument/2006/relationships/hyperlink" Target="file:///\\10.100.34.9\bwdgrodata1\CTAProjdata\" TargetMode="External"/><Relationship Id="rId251" Type="http://schemas.openxmlformats.org/officeDocument/2006/relationships/hyperlink" Target="file:///\\10.100.34.9\bwdgrodata1\CTAProjdata\" TargetMode="External"/><Relationship Id="rId25" Type="http://schemas.openxmlformats.org/officeDocument/2006/relationships/hyperlink" Target="https://bwdgkace01.bwdesigngroup.com/userui/ticket.php?ID=110288" TargetMode="External"/><Relationship Id="rId46" Type="http://schemas.openxmlformats.org/officeDocument/2006/relationships/hyperlink" Target="https://bwdgkace01.bwdesigngroup.com/userui/ticket.php?ID=107127" TargetMode="External"/><Relationship Id="rId67" Type="http://schemas.openxmlformats.org/officeDocument/2006/relationships/hyperlink" Target="https://bwdgkace01.bwdesigngroup.com/userui/ticket.php?ID=111088" TargetMode="External"/><Relationship Id="rId272" Type="http://schemas.openxmlformats.org/officeDocument/2006/relationships/hyperlink" Target="file:///\\10.100.34.9\bwdgrodata1\CTAProjdata\" TargetMode="External"/><Relationship Id="rId293" Type="http://schemas.openxmlformats.org/officeDocument/2006/relationships/hyperlink" Target="https://bwdgkace01.bwdesigngroup.com/userui/ticket.php?ID=114111" TargetMode="External"/><Relationship Id="rId307" Type="http://schemas.openxmlformats.org/officeDocument/2006/relationships/hyperlink" Target="https://bwdgkace01.bwdesigngroup.com/userui/ticket.php?ID=114118" TargetMode="External"/><Relationship Id="rId328" Type="http://schemas.openxmlformats.org/officeDocument/2006/relationships/image" Target="../media/image2.emf"/><Relationship Id="rId88" Type="http://schemas.openxmlformats.org/officeDocument/2006/relationships/hyperlink" Target="https://bwdgkace01.bwdesigngroup.com/userui/ticket.php?ID=92849" TargetMode="External"/><Relationship Id="rId111" Type="http://schemas.openxmlformats.org/officeDocument/2006/relationships/hyperlink" Target="https://bwdgkace01.bwdesigngroup.com/userui/ticket.php?ID=112680" TargetMode="External"/><Relationship Id="rId132" Type="http://schemas.openxmlformats.org/officeDocument/2006/relationships/hyperlink" Target="https://bwdgkace01.bwdesigngroup.com/userui/ticket.php?ID=111720" TargetMode="External"/><Relationship Id="rId153" Type="http://schemas.openxmlformats.org/officeDocument/2006/relationships/hyperlink" Target="file:///\\10.100.34.9\bwdgrodata1\CTAProjdata\" TargetMode="External"/><Relationship Id="rId174" Type="http://schemas.openxmlformats.org/officeDocument/2006/relationships/hyperlink" Target="file:///\\10.100.34.9\bwdgrodata1\CTAProjdata\" TargetMode="External"/><Relationship Id="rId195" Type="http://schemas.openxmlformats.org/officeDocument/2006/relationships/hyperlink" Target="file:///\\10.100.34.9\bwdgrodata1\CTAProjdata\" TargetMode="External"/><Relationship Id="rId209" Type="http://schemas.openxmlformats.org/officeDocument/2006/relationships/hyperlink" Target="file:///\\10.100.34.9\bwdgrodata1\CTAProjdata\" TargetMode="External"/><Relationship Id="rId220" Type="http://schemas.openxmlformats.org/officeDocument/2006/relationships/hyperlink" Target="https://bwdgkace01.bwdesigngroup.com/userui/ticket.php?ID=113647" TargetMode="External"/><Relationship Id="rId241" Type="http://schemas.openxmlformats.org/officeDocument/2006/relationships/hyperlink" Target="https://bwdgkace01.bwdesigngroup.com/userui/ticket.php?ID=113791" TargetMode="External"/><Relationship Id="rId15" Type="http://schemas.openxmlformats.org/officeDocument/2006/relationships/hyperlink" Target="file:///\\10.100.34.9\bwdgrodata1\CTAProjdata\" TargetMode="External"/><Relationship Id="rId36" Type="http://schemas.openxmlformats.org/officeDocument/2006/relationships/hyperlink" Target="file:///\\10.100.34.9\bwdgrodata1\CTAProjdata\" TargetMode="External"/><Relationship Id="rId57" Type="http://schemas.openxmlformats.org/officeDocument/2006/relationships/hyperlink" Target="https://bwdgkace01.bwdesigngroup.com/userui/ticket.php?ID=111085" TargetMode="External"/><Relationship Id="rId262" Type="http://schemas.openxmlformats.org/officeDocument/2006/relationships/hyperlink" Target="file:///\\10.100.34.9\bwdgrodata1\CTAProjdata\" TargetMode="External"/><Relationship Id="rId283" Type="http://schemas.openxmlformats.org/officeDocument/2006/relationships/hyperlink" Target="https://bwdgkace01.bwdesigngroup.com/userui/ticket.php?ID=114106" TargetMode="External"/><Relationship Id="rId318" Type="http://schemas.openxmlformats.org/officeDocument/2006/relationships/hyperlink" Target="https://bwdgkace01.bwdesigngroup.com/userui/ticket.php?ID=114187" TargetMode="External"/><Relationship Id="rId339" Type="http://schemas.openxmlformats.org/officeDocument/2006/relationships/control" Target="../activeX/activeX8.xml"/><Relationship Id="rId78" Type="http://schemas.openxmlformats.org/officeDocument/2006/relationships/hyperlink" Target="file:///\\10.100.34.9\bwdgrodata1\CTAProjdata\" TargetMode="External"/><Relationship Id="rId99" Type="http://schemas.openxmlformats.org/officeDocument/2006/relationships/hyperlink" Target="https://bwdgkace01.bwdesigngroup.com/userui/ticket.php?ID=112542" TargetMode="External"/><Relationship Id="rId101" Type="http://schemas.openxmlformats.org/officeDocument/2006/relationships/hyperlink" Target="https://bwdgkace01.bwdesigngroup.com/userui/ticket.php?ID=112669" TargetMode="External"/><Relationship Id="rId122" Type="http://schemas.openxmlformats.org/officeDocument/2006/relationships/hyperlink" Target="https://bwdgkace01.bwdesigngroup.com/userui/ticket.php?ID=112984" TargetMode="External"/><Relationship Id="rId143" Type="http://schemas.openxmlformats.org/officeDocument/2006/relationships/hyperlink" Target="file:///\\10.100.34.9\bwdgrodata1\CTAProjdata\" TargetMode="External"/><Relationship Id="rId164" Type="http://schemas.openxmlformats.org/officeDocument/2006/relationships/hyperlink" Target="file:///\\10.100.34.9\bwdgrodata1\CTAProjdata\" TargetMode="External"/><Relationship Id="rId185" Type="http://schemas.openxmlformats.org/officeDocument/2006/relationships/hyperlink" Target="file:///\\10.100.34.9\bwdgrodata1\CTAProjdata\" TargetMode="External"/><Relationship Id="rId9" Type="http://schemas.openxmlformats.org/officeDocument/2006/relationships/hyperlink" Target="https://bwdgkace01.bwdesigngroup.com/userui/ticket.php?ID=111804" TargetMode="External"/><Relationship Id="rId210" Type="http://schemas.openxmlformats.org/officeDocument/2006/relationships/hyperlink" Target="file:///\\10.100.34.9\bwdgrodata1\CTAProjdata\" TargetMode="External"/><Relationship Id="rId26" Type="http://schemas.openxmlformats.org/officeDocument/2006/relationships/hyperlink" Target="file:///\\10.100.34.9\bwdgrodata1\CTAProjdata\" TargetMode="External"/><Relationship Id="rId231" Type="http://schemas.openxmlformats.org/officeDocument/2006/relationships/hyperlink" Target="file:///\\10.100.34.9\bwdgrodata1\CTAProjdata\" TargetMode="External"/><Relationship Id="rId252" Type="http://schemas.openxmlformats.org/officeDocument/2006/relationships/hyperlink" Target="https://bwdgkace01.bwdesigngroup.com/userui/ticket.php?ID=110483" TargetMode="External"/><Relationship Id="rId273" Type="http://schemas.openxmlformats.org/officeDocument/2006/relationships/hyperlink" Target="https://bwdgkace01.bwdesigngroup.com/userui/ticket.php?ID=114101" TargetMode="External"/><Relationship Id="rId294" Type="http://schemas.openxmlformats.org/officeDocument/2006/relationships/hyperlink" Target="file:///\\10.100.34.9\bwdgrodata1\CTAProjdata\" TargetMode="External"/><Relationship Id="rId308" Type="http://schemas.openxmlformats.org/officeDocument/2006/relationships/hyperlink" Target="file:///\\10.100.34.9\bwdgrodata1\CTAProjdata\" TargetMode="External"/><Relationship Id="rId329" Type="http://schemas.openxmlformats.org/officeDocument/2006/relationships/control" Target="../activeX/activeX3.xml"/><Relationship Id="rId47" Type="http://schemas.openxmlformats.org/officeDocument/2006/relationships/hyperlink" Target="https://bwdgkace01.bwdesigngroup.com/userui/ticket.php?ID=111068" TargetMode="External"/><Relationship Id="rId68" Type="http://schemas.openxmlformats.org/officeDocument/2006/relationships/hyperlink" Target="file:///\\10.100.34.9\bwdgrodata1\CTAProjdata\" TargetMode="External"/><Relationship Id="rId89" Type="http://schemas.openxmlformats.org/officeDocument/2006/relationships/hyperlink" Target="https://bwdgkace01.bwdesigngroup.com/userui/ticket.php?ID=111083" TargetMode="External"/><Relationship Id="rId112" Type="http://schemas.openxmlformats.org/officeDocument/2006/relationships/hyperlink" Target="https://bwdgkace01.bwdesigngroup.com/userui/ticket.php?ID=112756" TargetMode="External"/><Relationship Id="rId133" Type="http://schemas.openxmlformats.org/officeDocument/2006/relationships/hyperlink" Target="https://bwdgkace01.bwdesigngroup.com/userui/ticket.php?ID=111683" TargetMode="External"/><Relationship Id="rId154" Type="http://schemas.openxmlformats.org/officeDocument/2006/relationships/hyperlink" Target="file:///\\10.100.34.9\bwdgrodata1\CTAProjdata\" TargetMode="External"/><Relationship Id="rId175" Type="http://schemas.openxmlformats.org/officeDocument/2006/relationships/hyperlink" Target="file:///\\10.100.34.9\bwdgrodata1\CTAProjdata\" TargetMode="External"/><Relationship Id="rId340" Type="http://schemas.openxmlformats.org/officeDocument/2006/relationships/image" Target="../media/image8.emf"/><Relationship Id="rId196" Type="http://schemas.openxmlformats.org/officeDocument/2006/relationships/hyperlink" Target="file:///\\10.100.34.9\bwdgrodata1\CTAProjdata\" TargetMode="External"/><Relationship Id="rId200" Type="http://schemas.openxmlformats.org/officeDocument/2006/relationships/hyperlink" Target="file:///\\10.100.34.9\bwdgrodata1\CTAProjdata\" TargetMode="External"/><Relationship Id="rId16" Type="http://schemas.openxmlformats.org/officeDocument/2006/relationships/hyperlink" Target="https://bwdgkace01.bwdesigngroup.com/userui/ticket.php?ID=108573" TargetMode="External"/><Relationship Id="rId221" Type="http://schemas.openxmlformats.org/officeDocument/2006/relationships/hyperlink" Target="file:///\\10.100.34.9\bwdgrodata1\CTAProjdata\" TargetMode="External"/><Relationship Id="rId242" Type="http://schemas.openxmlformats.org/officeDocument/2006/relationships/hyperlink" Target="file:///\\10.100.34.9\bwdgrodata1\CTAProjdata\" TargetMode="External"/><Relationship Id="rId263" Type="http://schemas.openxmlformats.org/officeDocument/2006/relationships/hyperlink" Target="https://bwdgkace01.bwdesigngroup.com/userui/ticket.php?ID=114094" TargetMode="External"/><Relationship Id="rId284" Type="http://schemas.openxmlformats.org/officeDocument/2006/relationships/hyperlink" Target="file:///\\10.100.34.9\bwdgrodata1\CTAProjdata\" TargetMode="External"/><Relationship Id="rId319" Type="http://schemas.openxmlformats.org/officeDocument/2006/relationships/hyperlink" Target="file:///\\10.100.34.9\bwdgrodata1\CTAProjdata\" TargetMode="External"/><Relationship Id="rId37" Type="http://schemas.openxmlformats.org/officeDocument/2006/relationships/hyperlink" Target="https://bwdgkace01.bwdesigngroup.com/userui/ticket.php?ID=111492" TargetMode="External"/><Relationship Id="rId58" Type="http://schemas.openxmlformats.org/officeDocument/2006/relationships/hyperlink" Target="file:///\\10.100.34.9\bwdgrodata1\CTAProjdata\" TargetMode="External"/><Relationship Id="rId79" Type="http://schemas.openxmlformats.org/officeDocument/2006/relationships/hyperlink" Target="https://bwdgkace01.bwdesigngroup.com/userui/ticket.php?ID=107547" TargetMode="External"/><Relationship Id="rId102" Type="http://schemas.openxmlformats.org/officeDocument/2006/relationships/hyperlink" Target="https://bwdgkace01.bwdesigngroup.com/userui/ticket.php?ID=112671" TargetMode="External"/><Relationship Id="rId123" Type="http://schemas.openxmlformats.org/officeDocument/2006/relationships/hyperlink" Target="file:///\\10.100.34.9\bwdgrodata1\CTAProjdata\" TargetMode="External"/><Relationship Id="rId144" Type="http://schemas.openxmlformats.org/officeDocument/2006/relationships/hyperlink" Target="file:///\\10.100.34.9\bwdgrodata1\CTAProjdata\" TargetMode="External"/><Relationship Id="rId330" Type="http://schemas.openxmlformats.org/officeDocument/2006/relationships/image" Target="../media/image3.emf"/><Relationship Id="rId90" Type="http://schemas.openxmlformats.org/officeDocument/2006/relationships/hyperlink" Target="https://bwdgkace01.bwdesigngroup.com/userui/ticket.php?ID=111491" TargetMode="External"/><Relationship Id="rId165" Type="http://schemas.openxmlformats.org/officeDocument/2006/relationships/hyperlink" Target="file:///\\10.100.34.9\bwdgrodata1\CTAProjdata\" TargetMode="External"/><Relationship Id="rId186" Type="http://schemas.openxmlformats.org/officeDocument/2006/relationships/hyperlink" Target="file:///\\10.100.34.9\bwdgrodata1\CTAProjdata\" TargetMode="External"/><Relationship Id="rId211" Type="http://schemas.openxmlformats.org/officeDocument/2006/relationships/hyperlink" Target="https://bwdgkace01.bwdesigngroup.com/userui/ticket.php?ID=113540" TargetMode="External"/><Relationship Id="rId232" Type="http://schemas.openxmlformats.org/officeDocument/2006/relationships/hyperlink" Target="https://bwdgkace01.bwdesigngroup.com/userui/ticket.php?ID=113724" TargetMode="External"/><Relationship Id="rId253" Type="http://schemas.openxmlformats.org/officeDocument/2006/relationships/hyperlink" Target="file:///\\10.100.34.9\bwdgrodata1\CTAProjdata\" TargetMode="External"/><Relationship Id="rId274" Type="http://schemas.openxmlformats.org/officeDocument/2006/relationships/hyperlink" Target="file:///\\10.100.34.9\bwdgrodata1\CTAProjdata\" TargetMode="External"/><Relationship Id="rId295" Type="http://schemas.openxmlformats.org/officeDocument/2006/relationships/hyperlink" Target="https://bwdgkace01.bwdesigngroup.com/userui/ticket.php?ID=114112" TargetMode="External"/><Relationship Id="rId309" Type="http://schemas.openxmlformats.org/officeDocument/2006/relationships/hyperlink" Target="https://bwdgkace01.bwdesigngroup.com/userui/ticket.php?ID=114119" TargetMode="External"/><Relationship Id="rId27" Type="http://schemas.openxmlformats.org/officeDocument/2006/relationships/hyperlink" Target="https://bwdgkace01.bwdesigngroup.com/userui/ticket.php?ID=110921" TargetMode="External"/><Relationship Id="rId48" Type="http://schemas.openxmlformats.org/officeDocument/2006/relationships/hyperlink" Target="https://bwdgkace01.bwdesigngroup.com/userui/ticket.php?ID=111069" TargetMode="External"/><Relationship Id="rId69" Type="http://schemas.openxmlformats.org/officeDocument/2006/relationships/hyperlink" Target="https://bwdgkace01.bwdesigngroup.com/userui/ticket.php?ID=107543" TargetMode="External"/><Relationship Id="rId113" Type="http://schemas.openxmlformats.org/officeDocument/2006/relationships/hyperlink" Target="file:///\\10.100.34.9\bwdgrodata1\CTAProjdata\" TargetMode="External"/><Relationship Id="rId134" Type="http://schemas.openxmlformats.org/officeDocument/2006/relationships/hyperlink" Target="https://bwdgkace01.bwdesigngroup.com/userui/ticket.php?ID=111720" TargetMode="External"/><Relationship Id="rId320" Type="http://schemas.openxmlformats.org/officeDocument/2006/relationships/hyperlink" Target="file:///\\10.100.34.9\bwdgrodata1\CTAProjdata\" TargetMode="External"/><Relationship Id="rId80" Type="http://schemas.openxmlformats.org/officeDocument/2006/relationships/hyperlink" Target="file:///\\10.100.34.9\bwdgrodata1\CTAProjdata\" TargetMode="External"/><Relationship Id="rId155" Type="http://schemas.openxmlformats.org/officeDocument/2006/relationships/hyperlink" Target="file:///\\10.100.34.9\bwdgrodata1\CTAProjdata\" TargetMode="External"/><Relationship Id="rId176" Type="http://schemas.openxmlformats.org/officeDocument/2006/relationships/hyperlink" Target="file:///\\10.100.34.9\bwdgrodata1\CTAProjdata\" TargetMode="External"/><Relationship Id="rId197" Type="http://schemas.openxmlformats.org/officeDocument/2006/relationships/hyperlink" Target="https://bwdgkace01.bwdesigngroup.com/userui/ticket.php?ID=113272" TargetMode="External"/><Relationship Id="rId341" Type="http://schemas.openxmlformats.org/officeDocument/2006/relationships/control" Target="../activeX/activeX9.xml"/><Relationship Id="rId201" Type="http://schemas.openxmlformats.org/officeDocument/2006/relationships/hyperlink" Target="https://bwdgkace01.bwdesigngroup.com/userui/ticket.php?ID=113357" TargetMode="External"/><Relationship Id="rId222" Type="http://schemas.openxmlformats.org/officeDocument/2006/relationships/hyperlink" Target="https://bwdgkace01.bwdesigngroup.com/userui/ticket.php?ID=113650" TargetMode="External"/><Relationship Id="rId243" Type="http://schemas.openxmlformats.org/officeDocument/2006/relationships/hyperlink" Target="https://bwdgkace01.bwdesigngroup.com/userui/ticket.php?ID=113859" TargetMode="External"/><Relationship Id="rId264" Type="http://schemas.openxmlformats.org/officeDocument/2006/relationships/hyperlink" Target="file:///\\10.100.34.9\bwdgrodata1\CTAProjdata\" TargetMode="External"/><Relationship Id="rId285" Type="http://schemas.openxmlformats.org/officeDocument/2006/relationships/hyperlink" Target="https://bwdgkace01.bwdesigngroup.com/userui/ticket.php?ID=114107" TargetMode="External"/><Relationship Id="rId17" Type="http://schemas.openxmlformats.org/officeDocument/2006/relationships/hyperlink" Target="https://bwdgkace01.bwdesigngroup.com/userui/ticket.php?ID=1234" TargetMode="External"/><Relationship Id="rId38" Type="http://schemas.openxmlformats.org/officeDocument/2006/relationships/hyperlink" Target="file:///\\10.100.34.9\bwdgrodata1\CTAProjdata\" TargetMode="External"/><Relationship Id="rId59" Type="http://schemas.openxmlformats.org/officeDocument/2006/relationships/hyperlink" Target="https://bwdgkace01.bwdesigngroup.com/userui/ticket.php?ID=110320" TargetMode="External"/><Relationship Id="rId103" Type="http://schemas.openxmlformats.org/officeDocument/2006/relationships/hyperlink" Target="https://bwdgkace01.bwdesigngroup.com/userui/ticket.php?ID=112672" TargetMode="External"/><Relationship Id="rId124" Type="http://schemas.openxmlformats.org/officeDocument/2006/relationships/hyperlink" Target="file:///\\10.100.34.9\bwdgrodata1\CTAProjdata\" TargetMode="External"/><Relationship Id="rId310" Type="http://schemas.openxmlformats.org/officeDocument/2006/relationships/hyperlink" Target="file:///\\10.100.34.9\bwdgrodata1\CTAProjdata\" TargetMode="External"/><Relationship Id="rId70" Type="http://schemas.openxmlformats.org/officeDocument/2006/relationships/hyperlink" Target="file:///\\10.100.34.9\bwdgrodata1\CTAProjdata\" TargetMode="External"/><Relationship Id="rId91" Type="http://schemas.openxmlformats.org/officeDocument/2006/relationships/hyperlink" Target="https://bwdgkace01.bwdesigngroup.com/userui/ticket.php?ID=111074" TargetMode="External"/><Relationship Id="rId145" Type="http://schemas.openxmlformats.org/officeDocument/2006/relationships/hyperlink" Target="file:///\\10.100.34.9\bwdgrodata1\CTAProjdata\" TargetMode="External"/><Relationship Id="rId166" Type="http://schemas.openxmlformats.org/officeDocument/2006/relationships/hyperlink" Target="file:///\\10.100.34.9\bwdgrodata1\CTAProjdata\" TargetMode="External"/><Relationship Id="rId187" Type="http://schemas.openxmlformats.org/officeDocument/2006/relationships/hyperlink" Target="file:///\\10.100.34.9\bwdgrodata1\CTAProjdata\" TargetMode="External"/><Relationship Id="rId331" Type="http://schemas.openxmlformats.org/officeDocument/2006/relationships/control" Target="../activeX/activeX4.xml"/><Relationship Id="rId1" Type="http://schemas.openxmlformats.org/officeDocument/2006/relationships/hyperlink" Target="https://bwdgkace01.bwdesigngroup.com/userui/ticket.php?ID=111683" TargetMode="External"/><Relationship Id="rId212" Type="http://schemas.openxmlformats.org/officeDocument/2006/relationships/hyperlink" Target="file:///\\10.100.34.9\bwdgrodata1\CTAProjdata\" TargetMode="External"/><Relationship Id="rId233" Type="http://schemas.openxmlformats.org/officeDocument/2006/relationships/hyperlink" Target="https://bwdgkace01.bwdesigngroup.com/userui/ticket.php?ID=113724" TargetMode="External"/><Relationship Id="rId254" Type="http://schemas.openxmlformats.org/officeDocument/2006/relationships/hyperlink" Target="https://bwdgkace01.bwdesigngroup.com/userui/ticket.php?ID=N/A" TargetMode="External"/><Relationship Id="rId28" Type="http://schemas.openxmlformats.org/officeDocument/2006/relationships/hyperlink" Target="file:///\\10.100.34.9\bwdgrodata1\CTAProjdata\" TargetMode="External"/><Relationship Id="rId49" Type="http://schemas.openxmlformats.org/officeDocument/2006/relationships/hyperlink" Target="file:///\\10.100.34.9\bwdgrodata1\CTAProjdata\" TargetMode="External"/><Relationship Id="rId114" Type="http://schemas.openxmlformats.org/officeDocument/2006/relationships/hyperlink" Target="https://bwdgkace01.bwdesigngroup.com/userui/ticket.php?ID=112879" TargetMode="External"/><Relationship Id="rId275" Type="http://schemas.openxmlformats.org/officeDocument/2006/relationships/hyperlink" Target="https://bwdgkace01.bwdesigngroup.com/userui/ticket.php?ID=114102" TargetMode="External"/><Relationship Id="rId296" Type="http://schemas.openxmlformats.org/officeDocument/2006/relationships/hyperlink" Target="file:///\\10.100.34.9\bwdgrodata1\CTAProjdata\" TargetMode="External"/><Relationship Id="rId300" Type="http://schemas.openxmlformats.org/officeDocument/2006/relationships/hyperlink" Target="file:///\\10.100.34.9\bwdgrodata1\CTAProjdata\" TargetMode="External"/><Relationship Id="rId60" Type="http://schemas.openxmlformats.org/officeDocument/2006/relationships/hyperlink" Target="https://bwdgkace01.bwdesigngroup.com/userui/ticket.php?ID=111070" TargetMode="External"/><Relationship Id="rId81" Type="http://schemas.openxmlformats.org/officeDocument/2006/relationships/hyperlink" Target="https://bwdgkace01.bwdesigngroup.com/userui/ticket.php?ID=107548" TargetMode="External"/><Relationship Id="rId135" Type="http://schemas.openxmlformats.org/officeDocument/2006/relationships/hyperlink" Target="https://bwdgkace01.bwdesigngroup.com/userui/ticket.php?ID=111683" TargetMode="External"/><Relationship Id="rId156" Type="http://schemas.openxmlformats.org/officeDocument/2006/relationships/hyperlink" Target="file:///\\10.100.34.9\bwdgrodata1\CTAProjdata\" TargetMode="External"/><Relationship Id="rId177" Type="http://schemas.openxmlformats.org/officeDocument/2006/relationships/hyperlink" Target="file:///\\10.100.34.9\bwdgrodata1\CTAProjdata\" TargetMode="External"/><Relationship Id="rId198" Type="http://schemas.openxmlformats.org/officeDocument/2006/relationships/hyperlink" Target="file:///\\10.100.34.9\bwdgrodata1\CTAProjdata\" TargetMode="External"/><Relationship Id="rId321" Type="http://schemas.openxmlformats.org/officeDocument/2006/relationships/hyperlink" Target="https://bwdgkace01.bwdesigngroup.com/userui/ticket.php?ID=114190" TargetMode="External"/><Relationship Id="rId342" Type="http://schemas.openxmlformats.org/officeDocument/2006/relationships/image" Target="../media/image9.emf"/><Relationship Id="rId202" Type="http://schemas.openxmlformats.org/officeDocument/2006/relationships/hyperlink" Target="file:///\\10.100.34.9\bwdgrodata1\CTAProjdata\" TargetMode="External"/><Relationship Id="rId223" Type="http://schemas.openxmlformats.org/officeDocument/2006/relationships/hyperlink" Target="file:///\\10.100.34.9\bwdgrodata1\CTAProjdata\" TargetMode="External"/><Relationship Id="rId244" Type="http://schemas.openxmlformats.org/officeDocument/2006/relationships/hyperlink" Target="file:///\\10.100.34.9\bwdgrodata1\CTAProjdata\" TargetMode="External"/><Relationship Id="rId18" Type="http://schemas.openxmlformats.org/officeDocument/2006/relationships/hyperlink" Target="file:///\\10.100.34.9\bwdgrodata1\CTAProjdata\" TargetMode="External"/><Relationship Id="rId39" Type="http://schemas.openxmlformats.org/officeDocument/2006/relationships/hyperlink" Target="https://bwdgkace01.bwdesigngroup.com/userui/ticket.php?ID=111310" TargetMode="External"/><Relationship Id="rId265" Type="http://schemas.openxmlformats.org/officeDocument/2006/relationships/hyperlink" Target="https://bwdgkace01.bwdesigngroup.com/userui/ticket.php?ID=114096" TargetMode="External"/><Relationship Id="rId286" Type="http://schemas.openxmlformats.org/officeDocument/2006/relationships/hyperlink" Target="file:///\\10.100.34.9\bwdgrodata1\CTAProjdata\" TargetMode="External"/><Relationship Id="rId50" Type="http://schemas.openxmlformats.org/officeDocument/2006/relationships/hyperlink" Target="https://bwdgkace01.bwdesigngroup.com/userui/ticket.php?ID=109159" TargetMode="External"/><Relationship Id="rId104" Type="http://schemas.openxmlformats.org/officeDocument/2006/relationships/hyperlink" Target="https://bwdgkace01.bwdesigngroup.com/userui/ticket.php?ID=112673" TargetMode="External"/><Relationship Id="rId125" Type="http://schemas.openxmlformats.org/officeDocument/2006/relationships/hyperlink" Target="https://bwdgkace01.bwdesigngroup.com/userui/ticket.php?ID=113029" TargetMode="External"/><Relationship Id="rId146" Type="http://schemas.openxmlformats.org/officeDocument/2006/relationships/hyperlink" Target="file:///\\10.100.34.9\bwdgrodata1\CTAProjdata\" TargetMode="External"/><Relationship Id="rId167" Type="http://schemas.openxmlformats.org/officeDocument/2006/relationships/hyperlink" Target="file:///\\10.100.34.9\bwdgrodata1\CTAProjdata\" TargetMode="External"/><Relationship Id="rId188" Type="http://schemas.openxmlformats.org/officeDocument/2006/relationships/hyperlink" Target="https://bwdgkace01.bwdesigngroup.com/userui/ticket.php?ID=113223&#160;" TargetMode="External"/><Relationship Id="rId311" Type="http://schemas.openxmlformats.org/officeDocument/2006/relationships/hyperlink" Target="https://bwdgkace01.bwdesigngroup.com/userui/ticket.php?ID=123456" TargetMode="External"/><Relationship Id="rId332" Type="http://schemas.openxmlformats.org/officeDocument/2006/relationships/image" Target="../media/image4.emf"/><Relationship Id="rId71" Type="http://schemas.openxmlformats.org/officeDocument/2006/relationships/hyperlink" Target="https://bwdgkace01.bwdesigngroup.com/userui/ticket.php?ID=107544" TargetMode="External"/><Relationship Id="rId92" Type="http://schemas.openxmlformats.org/officeDocument/2006/relationships/hyperlink" Target="file:///\\10.100.34.9\bwdgrodata1\CTAProjdata\" TargetMode="External"/><Relationship Id="rId213" Type="http://schemas.openxmlformats.org/officeDocument/2006/relationships/hyperlink" Target="file:///\\10.100.34.9\bwdgrodata1\CTAProjdata\" TargetMode="External"/><Relationship Id="rId234" Type="http://schemas.openxmlformats.org/officeDocument/2006/relationships/hyperlink" Target="https://bwdgkace01.bwdesigngroup.com/userui/ticket.php?ID=113724" TargetMode="External"/><Relationship Id="rId2" Type="http://schemas.openxmlformats.org/officeDocument/2006/relationships/hyperlink" Target="file:///\\10.100.34.9\bwdgrodata1\CTAProjdata\" TargetMode="External"/><Relationship Id="rId29" Type="http://schemas.openxmlformats.org/officeDocument/2006/relationships/hyperlink" Target="file:///\\10.100.34.9\bwdgrodata1\CTAProjdata\" TargetMode="External"/><Relationship Id="rId255" Type="http://schemas.openxmlformats.org/officeDocument/2006/relationships/hyperlink" Target="file:///\\10.100.34.9\bwdgrodata1\CTAProjdata\" TargetMode="External"/><Relationship Id="rId276" Type="http://schemas.openxmlformats.org/officeDocument/2006/relationships/hyperlink" Target="file:///\\10.100.34.9\bwdgrodata1\CTAProjdata\" TargetMode="External"/><Relationship Id="rId297" Type="http://schemas.openxmlformats.org/officeDocument/2006/relationships/hyperlink" Target="https://bwdgkace01.bwdesigngroup.com/userui/ticket.php?ID=114113" TargetMode="External"/><Relationship Id="rId40" Type="http://schemas.openxmlformats.org/officeDocument/2006/relationships/hyperlink" Target="file:///\\10.100.34.9\bwdgrodata1\CTAProjdata\" TargetMode="External"/><Relationship Id="rId115" Type="http://schemas.openxmlformats.org/officeDocument/2006/relationships/hyperlink" Target="https://bwdgkace01.bwdesigngroup.com/userui/ticket.php?ID=112976" TargetMode="External"/><Relationship Id="rId136" Type="http://schemas.openxmlformats.org/officeDocument/2006/relationships/hyperlink" Target="https://bwdgkace01.bwdesigngroup.com/userui/ticket.php?ID=111683" TargetMode="External"/><Relationship Id="rId157" Type="http://schemas.openxmlformats.org/officeDocument/2006/relationships/hyperlink" Target="file:///\\10.100.34.9\bwdgrodata1\CTAProjdata\" TargetMode="External"/><Relationship Id="rId178" Type="http://schemas.openxmlformats.org/officeDocument/2006/relationships/hyperlink" Target="file:///\\10.100.34.9\bwdgrodata1\CTAProjdata\" TargetMode="External"/><Relationship Id="rId301" Type="http://schemas.openxmlformats.org/officeDocument/2006/relationships/hyperlink" Target="https://bwdgkace01.bwdesigngroup.com/userui/ticket.php?ID=114115" TargetMode="External"/><Relationship Id="rId322" Type="http://schemas.openxmlformats.org/officeDocument/2006/relationships/printerSettings" Target="../printerSettings/printerSettings1.bin"/><Relationship Id="rId61" Type="http://schemas.openxmlformats.org/officeDocument/2006/relationships/hyperlink" Target="https://bwdgkace01.bwdesigngroup.com/userui/ticket.php?ID=111071" TargetMode="External"/><Relationship Id="rId82" Type="http://schemas.openxmlformats.org/officeDocument/2006/relationships/hyperlink" Target="file:///\\10.100.34.9\bwdgrodata1\CTAProjdata\" TargetMode="External"/><Relationship Id="rId199" Type="http://schemas.openxmlformats.org/officeDocument/2006/relationships/hyperlink" Target="https://bwdgkace01.bwdesigngroup.com/userui/ticket.php?ID=113275" TargetMode="External"/><Relationship Id="rId203" Type="http://schemas.openxmlformats.org/officeDocument/2006/relationships/hyperlink" Target="https://bwdgkace01.bwdesigngroup.com/userui/ticket.php?ID=113461" TargetMode="External"/><Relationship Id="rId19" Type="http://schemas.openxmlformats.org/officeDocument/2006/relationships/hyperlink" Target="https://bwdgkace01.bwdesigngroup.com/userui/ticket.php?ID=104451" TargetMode="External"/><Relationship Id="rId224" Type="http://schemas.openxmlformats.org/officeDocument/2006/relationships/hyperlink" Target="https://bwdgkace01.bwdesigngroup.com/userui/ticket.php?ID=113664" TargetMode="External"/><Relationship Id="rId245" Type="http://schemas.openxmlformats.org/officeDocument/2006/relationships/hyperlink" Target="https://bwdgkace01.bwdesigngroup.com/userui/ticket.php?ID=113880" TargetMode="External"/><Relationship Id="rId266" Type="http://schemas.openxmlformats.org/officeDocument/2006/relationships/hyperlink" Target="file:///\\10.100.34.9\bwdgrodata1\CTAProjdata\" TargetMode="External"/><Relationship Id="rId287" Type="http://schemas.openxmlformats.org/officeDocument/2006/relationships/hyperlink" Target="https://bwdgkace01.bwdesigngroup.com/userui/ticket.php?ID=114108" TargetMode="External"/><Relationship Id="rId30" Type="http://schemas.openxmlformats.org/officeDocument/2006/relationships/hyperlink" Target="https://bwdgkace01.bwdesigngroup.com/userui/ticket.php?ID=92850" TargetMode="External"/><Relationship Id="rId105" Type="http://schemas.openxmlformats.org/officeDocument/2006/relationships/hyperlink" Target="https://bwdgkace01.bwdesigngroup.com/userui/ticket.php?ID=112674" TargetMode="External"/><Relationship Id="rId126" Type="http://schemas.openxmlformats.org/officeDocument/2006/relationships/hyperlink" Target="file:///\\10.100.34.9\bwdgrodata1\CTAProjdata\" TargetMode="External"/><Relationship Id="rId147" Type="http://schemas.openxmlformats.org/officeDocument/2006/relationships/hyperlink" Target="file:///\\10.100.34.9\bwdgrodata1\CTAProjdata\" TargetMode="External"/><Relationship Id="rId168" Type="http://schemas.openxmlformats.org/officeDocument/2006/relationships/hyperlink" Target="file:///\\10.100.34.9\bwdgrodata1\CTAProjdata\" TargetMode="External"/><Relationship Id="rId312" Type="http://schemas.openxmlformats.org/officeDocument/2006/relationships/hyperlink" Target="file:///\\10.100.34.9\bwdgrodata1\CTAProjdata\" TargetMode="External"/><Relationship Id="rId333" Type="http://schemas.openxmlformats.org/officeDocument/2006/relationships/control" Target="../activeX/activeX5.xml"/><Relationship Id="rId51" Type="http://schemas.openxmlformats.org/officeDocument/2006/relationships/hyperlink" Target="file:///\\10.100.34.9\bwdgrodata1\CTAProjdata\" TargetMode="External"/><Relationship Id="rId72" Type="http://schemas.openxmlformats.org/officeDocument/2006/relationships/hyperlink" Target="https://bwdgkace01.bwdesigngroup.com/userui/ticket.php?ID=111075" TargetMode="External"/><Relationship Id="rId93" Type="http://schemas.openxmlformats.org/officeDocument/2006/relationships/hyperlink" Target="https://bwdgkace01.bwdesigngroup.com/userui/ticket.php?ID=112277" TargetMode="External"/><Relationship Id="rId189" Type="http://schemas.openxmlformats.org/officeDocument/2006/relationships/hyperlink" Target="https://bwdgkace01.bwdesigngroup.com/userui/ticket.php?ID=113224" TargetMode="External"/><Relationship Id="rId3" Type="http://schemas.openxmlformats.org/officeDocument/2006/relationships/hyperlink" Target="https://bwdgkace01.bwdesigngroup.com/userui/ticket.php?ID=111568" TargetMode="External"/><Relationship Id="rId214" Type="http://schemas.openxmlformats.org/officeDocument/2006/relationships/hyperlink" Target="https://bwdgkace01.bwdesigngroup.com/userui/ticket.php?ID=113357" TargetMode="External"/><Relationship Id="rId235" Type="http://schemas.openxmlformats.org/officeDocument/2006/relationships/hyperlink" Target="https://bwdgkace01.bwdesigngroup.com/userui/ticket.php?ID=113724" TargetMode="External"/><Relationship Id="rId256" Type="http://schemas.openxmlformats.org/officeDocument/2006/relationships/hyperlink" Target="https://bwdgkace01.bwdesigngroup.com/userui/ticket.php?ID=114032" TargetMode="External"/><Relationship Id="rId277" Type="http://schemas.openxmlformats.org/officeDocument/2006/relationships/hyperlink" Target="https://bwdgkace01.bwdesigngroup.com/userui/ticket.php?ID=114103" TargetMode="External"/><Relationship Id="rId298" Type="http://schemas.openxmlformats.org/officeDocument/2006/relationships/hyperlink" Target="file:///\\10.100.34.9\bwdgrodata1\CTAProjdata\" TargetMode="External"/><Relationship Id="rId116" Type="http://schemas.openxmlformats.org/officeDocument/2006/relationships/hyperlink" Target="https://bwdgkace01.bwdesigngroup.com/userui/ticket.php?ID=112977" TargetMode="External"/><Relationship Id="rId137" Type="http://schemas.openxmlformats.org/officeDocument/2006/relationships/hyperlink" Target="https://bwdgkace01.bwdesigngroup.com/userui/ticket.php?ID=111720" TargetMode="External"/><Relationship Id="rId158" Type="http://schemas.openxmlformats.org/officeDocument/2006/relationships/hyperlink" Target="file:///\\10.100.34.9\bwdgrodata1\CTAProjdata\" TargetMode="External"/><Relationship Id="rId302" Type="http://schemas.openxmlformats.org/officeDocument/2006/relationships/hyperlink" Target="file:///\\10.100.34.9\bwdgrodata1\CTAProjdata\" TargetMode="External"/><Relationship Id="rId323" Type="http://schemas.openxmlformats.org/officeDocument/2006/relationships/drawing" Target="../drawings/drawing1.xml"/><Relationship Id="rId20" Type="http://schemas.openxmlformats.org/officeDocument/2006/relationships/hyperlink" Target="https://bwdgkace01.bwdesigngroup.com/userui/ticket.php?ID=105721" TargetMode="External"/><Relationship Id="rId41" Type="http://schemas.openxmlformats.org/officeDocument/2006/relationships/hyperlink" Target="https://bwdgkace01.bwdesigngroup.com/userui/ticket.php?ID=109648" TargetMode="External"/><Relationship Id="rId62" Type="http://schemas.openxmlformats.org/officeDocument/2006/relationships/hyperlink" Target="https://bwdgkace01.bwdesigngroup.com/userui/ticket.php?ID=111086" TargetMode="External"/><Relationship Id="rId83" Type="http://schemas.openxmlformats.org/officeDocument/2006/relationships/hyperlink" Target="https://bwdgkace01.bwdesigngroup.com/userui/ticket.php?ID=107549" TargetMode="External"/><Relationship Id="rId179" Type="http://schemas.openxmlformats.org/officeDocument/2006/relationships/hyperlink" Target="https://bwdgkace01.bwdesigngroup.com/userui/ticket.php?ID=113220" TargetMode="External"/><Relationship Id="rId190" Type="http://schemas.openxmlformats.org/officeDocument/2006/relationships/hyperlink" Target="https://bwdgkace01.bwdesigngroup.com/userui/ticket.php?ID=113225" TargetMode="External"/><Relationship Id="rId204" Type="http://schemas.openxmlformats.org/officeDocument/2006/relationships/hyperlink" Target="file:///\\10.100.34.9\bwdgrodata1\CTAProjdata\" TargetMode="External"/><Relationship Id="rId225" Type="http://schemas.openxmlformats.org/officeDocument/2006/relationships/hyperlink" Target="file:///\\10.100.34.9\bwdgrodata1\CTAProjdata\" TargetMode="External"/><Relationship Id="rId246" Type="http://schemas.openxmlformats.org/officeDocument/2006/relationships/hyperlink" Target="file:///\\10.100.34.9\bwdgrodata1\CTAProjdata\" TargetMode="External"/><Relationship Id="rId267" Type="http://schemas.openxmlformats.org/officeDocument/2006/relationships/hyperlink" Target="https://bwdgkace01.bwdesigngroup.com/userui/ticket.php?ID=114097" TargetMode="External"/><Relationship Id="rId288" Type="http://schemas.openxmlformats.org/officeDocument/2006/relationships/hyperlink" Target="file:///\\10.100.34.9\bwdgrodata1\CTAProjdata\" TargetMode="External"/><Relationship Id="rId106" Type="http://schemas.openxmlformats.org/officeDocument/2006/relationships/hyperlink" Target="https://bwdgkace01.bwdesigngroup.com/userui/ticket.php?ID=112675" TargetMode="External"/><Relationship Id="rId127" Type="http://schemas.openxmlformats.org/officeDocument/2006/relationships/hyperlink" Target="https://bwdgkace01.bwdesigngroup.com/userui/ticket.php?ID=113074" TargetMode="External"/><Relationship Id="rId313" Type="http://schemas.openxmlformats.org/officeDocument/2006/relationships/hyperlink" Target="file:///\\10.100.34.9\bwdgrodata1\CTAProjdata\" TargetMode="External"/><Relationship Id="rId10" Type="http://schemas.openxmlformats.org/officeDocument/2006/relationships/hyperlink" Target="https://bwdgkace01.bwdesigngroup.com/userui/ticket.php?ID=111362" TargetMode="External"/><Relationship Id="rId31" Type="http://schemas.openxmlformats.org/officeDocument/2006/relationships/hyperlink" Target="file:///\\10.100.34.9\bwdgrodata1\CTAProjdata\" TargetMode="External"/><Relationship Id="rId52" Type="http://schemas.openxmlformats.org/officeDocument/2006/relationships/hyperlink" Target="https://bwdgkace01.bwdesigngroup.com/userui/ticket.php?ID=109159" TargetMode="External"/><Relationship Id="rId73" Type="http://schemas.openxmlformats.org/officeDocument/2006/relationships/hyperlink" Target="https://bwdgkace01.bwdesigngroup.com/userui/ticket.php?ID=111089" TargetMode="External"/><Relationship Id="rId94" Type="http://schemas.openxmlformats.org/officeDocument/2006/relationships/hyperlink" Target="file:///\\10.100.34.9\bwdgrodata1\CTAProjdata\" TargetMode="External"/><Relationship Id="rId148" Type="http://schemas.openxmlformats.org/officeDocument/2006/relationships/hyperlink" Target="file:///\\10.100.34.9\bwdgrodata1\CTAProjdata\" TargetMode="External"/><Relationship Id="rId169" Type="http://schemas.openxmlformats.org/officeDocument/2006/relationships/hyperlink" Target="file:///\\10.100.34.9\bwdgrodata1\CTAProjdata\" TargetMode="External"/><Relationship Id="rId334" Type="http://schemas.openxmlformats.org/officeDocument/2006/relationships/image" Target="../media/image5.emf"/><Relationship Id="rId4" Type="http://schemas.openxmlformats.org/officeDocument/2006/relationships/hyperlink" Target="file:///\\10.100.34.9\bwdgrodata1\CTAProjdata\" TargetMode="External"/><Relationship Id="rId180" Type="http://schemas.openxmlformats.org/officeDocument/2006/relationships/hyperlink" Target="file:///\\10.100.34.9\bwdgrodata1\CTAProjdata\" TargetMode="External"/><Relationship Id="rId215" Type="http://schemas.openxmlformats.org/officeDocument/2006/relationships/hyperlink" Target="file:///\\10.100.34.9\bwdgrodata1\CTAProjdata\" TargetMode="External"/><Relationship Id="rId236" Type="http://schemas.openxmlformats.org/officeDocument/2006/relationships/hyperlink" Target="file:///\\10.100.34.9\bwdgrodata1\CTAProjdata\" TargetMode="External"/><Relationship Id="rId257" Type="http://schemas.openxmlformats.org/officeDocument/2006/relationships/hyperlink" Target="file:///\\10.100.34.9\bwdgrodata1\CTAProjdata\" TargetMode="External"/><Relationship Id="rId278" Type="http://schemas.openxmlformats.org/officeDocument/2006/relationships/hyperlink" Target="file:///\\10.100.34.9\bwdgrodata1\CTAProjdata\" TargetMode="External"/><Relationship Id="rId303" Type="http://schemas.openxmlformats.org/officeDocument/2006/relationships/hyperlink" Target="https://bwdgkace01.bwdesigngroup.com/userui/ticket.php?ID=114116" TargetMode="External"/><Relationship Id="rId42" Type="http://schemas.openxmlformats.org/officeDocument/2006/relationships/hyperlink" Target="https://bwdgkace01.bwdesigngroup.com/userui/ticket.php?ID=111067" TargetMode="External"/><Relationship Id="rId84" Type="http://schemas.openxmlformats.org/officeDocument/2006/relationships/hyperlink" Target="file:///\\10.100.34.9\bwdgrodata1\CTAProjdata\" TargetMode="External"/><Relationship Id="rId138" Type="http://schemas.openxmlformats.org/officeDocument/2006/relationships/hyperlink" Target="https://bwdgkace01.bwdesigngroup.com/userui/ticket.php?ID=111720" TargetMode="External"/><Relationship Id="rId191" Type="http://schemas.openxmlformats.org/officeDocument/2006/relationships/hyperlink" Target="https://bwdgkace01.bwdesigngroup.com/userui/ticket.php?ID=113226" TargetMode="External"/><Relationship Id="rId205" Type="http://schemas.openxmlformats.org/officeDocument/2006/relationships/hyperlink" Target="file:///\\10.100.34.9\bwdgrodata1\CTAProjdata\" TargetMode="External"/><Relationship Id="rId247" Type="http://schemas.openxmlformats.org/officeDocument/2006/relationships/hyperlink" Target="file:///\\10.100.34.9\bwdgrodata1\CTAProjdata\" TargetMode="External"/><Relationship Id="rId107" Type="http://schemas.openxmlformats.org/officeDocument/2006/relationships/hyperlink" Target="https://bwdgkace01.bwdesigngroup.com/userui/ticket.php?ID=112676" TargetMode="External"/><Relationship Id="rId289" Type="http://schemas.openxmlformats.org/officeDocument/2006/relationships/hyperlink" Target="https://bwdgkace01.bwdesigngroup.com/userui/ticket.php?ID=114109" TargetMode="External"/><Relationship Id="rId11" Type="http://schemas.openxmlformats.org/officeDocument/2006/relationships/hyperlink" Target="file:///\\10.100.34.9\bwdgrodata1\CTAProjdata\" TargetMode="External"/><Relationship Id="rId53" Type="http://schemas.openxmlformats.org/officeDocument/2006/relationships/hyperlink" Target="file:///\\10.100.34.9\bwdgrodata1\CTAProjdata\" TargetMode="External"/><Relationship Id="rId149" Type="http://schemas.openxmlformats.org/officeDocument/2006/relationships/hyperlink" Target="file:///\\10.100.34.9\bwdgrodata1\CTAProjdata\" TargetMode="External"/><Relationship Id="rId314" Type="http://schemas.openxmlformats.org/officeDocument/2006/relationships/hyperlink" Target="https://bwdgkace01.bwdesigngroup.com/userui/ticket.php?ID=N/A" TargetMode="External"/><Relationship Id="rId95" Type="http://schemas.openxmlformats.org/officeDocument/2006/relationships/hyperlink" Target="https://bwdgkace01.bwdesigngroup.com/userui/ticket.php?ID=112510" TargetMode="External"/><Relationship Id="rId160" Type="http://schemas.openxmlformats.org/officeDocument/2006/relationships/hyperlink" Target="file:///\\10.100.34.9\bwdgrodata1\CTAProjdata\" TargetMode="External"/><Relationship Id="rId216" Type="http://schemas.openxmlformats.org/officeDocument/2006/relationships/hyperlink" Target="https://bwdgkace01.bwdesigngroup.com/userui/ticket.php?ID=113619" TargetMode="External"/><Relationship Id="rId258" Type="http://schemas.openxmlformats.org/officeDocument/2006/relationships/hyperlink" Target="https://bwdgkace01.bwdesigngroup.com/userui/ticket.php?ID=114036" TargetMode="External"/><Relationship Id="rId22" Type="http://schemas.openxmlformats.org/officeDocument/2006/relationships/hyperlink" Target="https://bwdgkace01.bwdesigngroup.com/userui/ticket.php?ID=107897" TargetMode="External"/><Relationship Id="rId64" Type="http://schemas.openxmlformats.org/officeDocument/2006/relationships/hyperlink" Target="https://bwdgkace01.bwdesigngroup.com/userui/ticket.php?ID=111072" TargetMode="External"/><Relationship Id="rId118" Type="http://schemas.openxmlformats.org/officeDocument/2006/relationships/hyperlink" Target="https://bwdgkace01.bwdesigngroup.com/userui/ticket.php?ID=112980" TargetMode="External"/><Relationship Id="rId325" Type="http://schemas.openxmlformats.org/officeDocument/2006/relationships/control" Target="../activeX/activeX1.xml"/><Relationship Id="rId171" Type="http://schemas.openxmlformats.org/officeDocument/2006/relationships/hyperlink" Target="file:///\\10.100.34.9\bwdgrodata1\CTAProjdata\" TargetMode="External"/><Relationship Id="rId227" Type="http://schemas.openxmlformats.org/officeDocument/2006/relationships/hyperlink" Target="file:///\\10.100.34.9\bwdgrodata1\CTAProjdata\" TargetMode="External"/><Relationship Id="rId269" Type="http://schemas.openxmlformats.org/officeDocument/2006/relationships/hyperlink" Target="https://bwdgkace01.bwdesigngroup.com/userui/ticket.php?ID=114098" TargetMode="External"/><Relationship Id="rId33" Type="http://schemas.openxmlformats.org/officeDocument/2006/relationships/hyperlink" Target="file:///\\10.100.34.9\bwdgrodata1\CTAProjdata\" TargetMode="External"/><Relationship Id="rId129" Type="http://schemas.openxmlformats.org/officeDocument/2006/relationships/hyperlink" Target="https://bwdgkace01.bwdesigngroup.com/userui/ticket.php?ID=113083" TargetMode="External"/><Relationship Id="rId280" Type="http://schemas.openxmlformats.org/officeDocument/2006/relationships/hyperlink" Target="file:///\\10.100.34.9\bwdgrodata1\CTAProjdata\" TargetMode="External"/><Relationship Id="rId336" Type="http://schemas.openxmlformats.org/officeDocument/2006/relationships/image" Target="../media/image6.emf"/><Relationship Id="rId75" Type="http://schemas.openxmlformats.org/officeDocument/2006/relationships/hyperlink" Target="https://bwdgkace01.bwdesigngroup.com/userui/ticket.php?ID=111076" TargetMode="External"/><Relationship Id="rId140" Type="http://schemas.openxmlformats.org/officeDocument/2006/relationships/hyperlink" Target="file:///\\10.100.34.9\bwdgrodata1\CTAProjdata\" TargetMode="External"/><Relationship Id="rId182" Type="http://schemas.openxmlformats.org/officeDocument/2006/relationships/hyperlink" Target="file:///\\10.100.34.9\bwdgrodata1\CTAProjdata\" TargetMode="External"/><Relationship Id="rId6" Type="http://schemas.openxmlformats.org/officeDocument/2006/relationships/hyperlink" Target="https://portal.azure.com/" TargetMode="External"/><Relationship Id="rId238" Type="http://schemas.openxmlformats.org/officeDocument/2006/relationships/hyperlink" Target="file:///\\10.100.34.9\bwdgrodata1\CTAProjdata\" TargetMode="External"/><Relationship Id="rId291" Type="http://schemas.openxmlformats.org/officeDocument/2006/relationships/hyperlink" Target="https://bwdgkace01.bwdesigngroup.com/userui/ticket.php?ID=114110" TargetMode="External"/><Relationship Id="rId305" Type="http://schemas.openxmlformats.org/officeDocument/2006/relationships/hyperlink" Target="https://bwdgkace01.bwdesigngroup.com/userui/ticket.php?ID=114117" TargetMode="External"/><Relationship Id="rId44" Type="http://schemas.openxmlformats.org/officeDocument/2006/relationships/hyperlink" Target="https://bwdgkace01.bwdesigngroup.com/userui/ticket.php?ID=109870" TargetMode="External"/><Relationship Id="rId86" Type="http://schemas.openxmlformats.org/officeDocument/2006/relationships/hyperlink" Target="https://bwdgkace01.bwdesigngroup.com/userui/ticket.php?ID=106009" TargetMode="External"/><Relationship Id="rId151" Type="http://schemas.openxmlformats.org/officeDocument/2006/relationships/hyperlink" Target="file:///\\10.100.34.9\bwdgrodata1\CTAProjdata\" TargetMode="External"/><Relationship Id="rId193" Type="http://schemas.openxmlformats.org/officeDocument/2006/relationships/hyperlink" Target="https://bwdgkace01.bwdesigngroup.com/userui/ticket.php?ID=113228" TargetMode="External"/><Relationship Id="rId207" Type="http://schemas.openxmlformats.org/officeDocument/2006/relationships/hyperlink" Target="file:///\\10.100.34.9\bwdgrodata1\CTAProjdata\" TargetMode="External"/><Relationship Id="rId249" Type="http://schemas.openxmlformats.org/officeDocument/2006/relationships/hyperlink" Target="file:///\\10.100.34.9\bwdgrodata1\CTAProjdata\" TargetMode="External"/><Relationship Id="rId13" Type="http://schemas.openxmlformats.org/officeDocument/2006/relationships/hyperlink" Target="file:///\\10.100.34.9\bwdgrodata1\CTAProjdata\" TargetMode="External"/><Relationship Id="rId109" Type="http://schemas.openxmlformats.org/officeDocument/2006/relationships/hyperlink" Target="https://bwdgkace01.bwdesigngroup.com/userui/ticket.php?ID=112678" TargetMode="External"/><Relationship Id="rId260" Type="http://schemas.openxmlformats.org/officeDocument/2006/relationships/hyperlink" Target="file:///\\10.100.34.9\bwdgrodata1\CTAProjdata\" TargetMode="External"/><Relationship Id="rId316" Type="http://schemas.openxmlformats.org/officeDocument/2006/relationships/hyperlink" Target="https://bwdgkace01.bwdesigngroup.com/userui/ticket.php?ID=114175" TargetMode="External"/><Relationship Id="rId55" Type="http://schemas.openxmlformats.org/officeDocument/2006/relationships/hyperlink" Target="file:///\\10.100.34.9\bwdgrodata1\CTAProjdata\" TargetMode="External"/><Relationship Id="rId97" Type="http://schemas.openxmlformats.org/officeDocument/2006/relationships/hyperlink" Target="https://bwdgkace01.bwdesigngroup.com/userui/ticket.php?ID=112527" TargetMode="External"/><Relationship Id="rId120" Type="http://schemas.openxmlformats.org/officeDocument/2006/relationships/hyperlink" Target="https://bwdgkace01.bwdesigngroup.com/userui/ticket.php?ID=112982" TargetMode="External"/><Relationship Id="rId162" Type="http://schemas.openxmlformats.org/officeDocument/2006/relationships/hyperlink" Target="file:///\\10.100.34.9\bwdgrodata1\CTAProjdata\" TargetMode="External"/><Relationship Id="rId218" Type="http://schemas.openxmlformats.org/officeDocument/2006/relationships/hyperlink" Target="https://bwdgkace01.bwdesigngroup.com/userui/ticket.php?ID=113627" TargetMode="External"/><Relationship Id="rId271" Type="http://schemas.openxmlformats.org/officeDocument/2006/relationships/hyperlink" Target="https://bwdgkace01.bwdesigngroup.com/userui/ticket.php?ID=114100" TargetMode="External"/><Relationship Id="rId24" Type="http://schemas.openxmlformats.org/officeDocument/2006/relationships/hyperlink" Target="file:///\\10.100.34.9\bwdgrodata1\CTAProjdata\" TargetMode="External"/><Relationship Id="rId66" Type="http://schemas.openxmlformats.org/officeDocument/2006/relationships/hyperlink" Target="https://bwdgkace01.bwdesigngroup.com/userui/ticket.php?ID=111087" TargetMode="External"/><Relationship Id="rId131" Type="http://schemas.openxmlformats.org/officeDocument/2006/relationships/hyperlink" Target="https://bwdgkace01.bwdesigngroup.com/userui/ticket.php?ID=111683" TargetMode="External"/><Relationship Id="rId327" Type="http://schemas.openxmlformats.org/officeDocument/2006/relationships/control" Target="../activeX/activeX2.xml"/><Relationship Id="rId173" Type="http://schemas.openxmlformats.org/officeDocument/2006/relationships/hyperlink" Target="file:///\\10.100.34.9\bwdgrodata1\CTAProjdata\" TargetMode="External"/><Relationship Id="rId229" Type="http://schemas.openxmlformats.org/officeDocument/2006/relationships/hyperlink" Target="file:///\\10.100.34.9\bwdgrodata1\CTAProjdata\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Jaimondcoles@gmail.com" TargetMode="External"/><Relationship Id="rId3" Type="http://schemas.openxmlformats.org/officeDocument/2006/relationships/hyperlink" Target="mailto:LaShundraSDavis@ATT.NET" TargetMode="External"/><Relationship Id="rId7" Type="http://schemas.openxmlformats.org/officeDocument/2006/relationships/hyperlink" Target="mailto:LaShundraSDavis@ATT.NET" TargetMode="External"/><Relationship Id="rId2" Type="http://schemas.openxmlformats.org/officeDocument/2006/relationships/hyperlink" Target="mailto:ClevelandDeShun@gmail.com" TargetMode="External"/><Relationship Id="rId1" Type="http://schemas.openxmlformats.org/officeDocument/2006/relationships/hyperlink" Target="mailto:Jaimondcoles@gmail.com" TargetMode="External"/><Relationship Id="rId6" Type="http://schemas.openxmlformats.org/officeDocument/2006/relationships/hyperlink" Target="mailto:ClevelandDeShun@gmail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Jaimondcoles@gmail.com" TargetMode="External"/><Relationship Id="rId10" Type="http://schemas.openxmlformats.org/officeDocument/2006/relationships/hyperlink" Target="mailto:LaShundraSDavis@ATT.NET" TargetMode="External"/><Relationship Id="rId4" Type="http://schemas.openxmlformats.org/officeDocument/2006/relationships/hyperlink" Target="https://dummysite/" TargetMode="External"/><Relationship Id="rId9" Type="http://schemas.openxmlformats.org/officeDocument/2006/relationships/hyperlink" Target="mailto:ClevelandDeShun@gmail.com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../" TargetMode="External"/><Relationship Id="rId18" Type="http://schemas.openxmlformats.org/officeDocument/2006/relationships/hyperlink" Target="../../../../" TargetMode="External"/><Relationship Id="rId26" Type="http://schemas.openxmlformats.org/officeDocument/2006/relationships/hyperlink" Target="../../../../" TargetMode="External"/><Relationship Id="rId3" Type="http://schemas.openxmlformats.org/officeDocument/2006/relationships/hyperlink" Target="../../../../" TargetMode="External"/><Relationship Id="rId21" Type="http://schemas.openxmlformats.org/officeDocument/2006/relationships/hyperlink" Target="../../../../" TargetMode="External"/><Relationship Id="rId34" Type="http://schemas.openxmlformats.org/officeDocument/2006/relationships/printerSettings" Target="../printerSettings/printerSettings4.bin"/><Relationship Id="rId7" Type="http://schemas.openxmlformats.org/officeDocument/2006/relationships/hyperlink" Target="../../../../" TargetMode="External"/><Relationship Id="rId12" Type="http://schemas.openxmlformats.org/officeDocument/2006/relationships/hyperlink" Target="../../../../" TargetMode="External"/><Relationship Id="rId17" Type="http://schemas.openxmlformats.org/officeDocument/2006/relationships/hyperlink" Target="../../../../" TargetMode="External"/><Relationship Id="rId25" Type="http://schemas.openxmlformats.org/officeDocument/2006/relationships/hyperlink" Target="../../../../" TargetMode="External"/><Relationship Id="rId33" Type="http://schemas.openxmlformats.org/officeDocument/2006/relationships/hyperlink" Target="file:///\\10.100.34.9\bwdgrodata1\CTAProjdata\" TargetMode="External"/><Relationship Id="rId2" Type="http://schemas.openxmlformats.org/officeDocument/2006/relationships/hyperlink" Target="../../../../" TargetMode="External"/><Relationship Id="rId16" Type="http://schemas.openxmlformats.org/officeDocument/2006/relationships/hyperlink" Target="../../../../" TargetMode="External"/><Relationship Id="rId20" Type="http://schemas.openxmlformats.org/officeDocument/2006/relationships/hyperlink" Target="../../../../" TargetMode="External"/><Relationship Id="rId29" Type="http://schemas.openxmlformats.org/officeDocument/2006/relationships/hyperlink" Target="file:///\\10.100.34.9\bwdgrodata1\CTAProjdata\" TargetMode="External"/><Relationship Id="rId1" Type="http://schemas.openxmlformats.org/officeDocument/2006/relationships/hyperlink" Target="../../../../" TargetMode="External"/><Relationship Id="rId6" Type="http://schemas.openxmlformats.org/officeDocument/2006/relationships/hyperlink" Target="../../../../" TargetMode="External"/><Relationship Id="rId11" Type="http://schemas.openxmlformats.org/officeDocument/2006/relationships/hyperlink" Target="../../../../" TargetMode="External"/><Relationship Id="rId24" Type="http://schemas.openxmlformats.org/officeDocument/2006/relationships/hyperlink" Target="../../../../" TargetMode="External"/><Relationship Id="rId32" Type="http://schemas.openxmlformats.org/officeDocument/2006/relationships/hyperlink" Target="file:///\\10.100.34.9\bwdgrodata1\CTAProjdata\" TargetMode="External"/><Relationship Id="rId5" Type="http://schemas.openxmlformats.org/officeDocument/2006/relationships/hyperlink" Target="../../../../" TargetMode="External"/><Relationship Id="rId15" Type="http://schemas.openxmlformats.org/officeDocument/2006/relationships/hyperlink" Target="../../../../" TargetMode="External"/><Relationship Id="rId23" Type="http://schemas.openxmlformats.org/officeDocument/2006/relationships/hyperlink" Target="../../../../" TargetMode="External"/><Relationship Id="rId28" Type="http://schemas.openxmlformats.org/officeDocument/2006/relationships/hyperlink" Target="file:///\\10.100.34.9\bwdgrodata1\CTAProjdata\" TargetMode="External"/><Relationship Id="rId10" Type="http://schemas.openxmlformats.org/officeDocument/2006/relationships/hyperlink" Target="../../../../" TargetMode="External"/><Relationship Id="rId19" Type="http://schemas.openxmlformats.org/officeDocument/2006/relationships/hyperlink" Target="../../../../" TargetMode="External"/><Relationship Id="rId31" Type="http://schemas.openxmlformats.org/officeDocument/2006/relationships/hyperlink" Target="file:///\\10.100.34.9\bwdgrodata1\CTAProjdata\" TargetMode="External"/><Relationship Id="rId4" Type="http://schemas.openxmlformats.org/officeDocument/2006/relationships/hyperlink" Target="../../../../" TargetMode="External"/><Relationship Id="rId9" Type="http://schemas.openxmlformats.org/officeDocument/2006/relationships/hyperlink" Target="../../../../" TargetMode="External"/><Relationship Id="rId14" Type="http://schemas.openxmlformats.org/officeDocument/2006/relationships/hyperlink" Target="../../../../" TargetMode="External"/><Relationship Id="rId22" Type="http://schemas.openxmlformats.org/officeDocument/2006/relationships/hyperlink" Target="../../../../" TargetMode="External"/><Relationship Id="rId27" Type="http://schemas.openxmlformats.org/officeDocument/2006/relationships/hyperlink" Target="file:///\\10.100.34.9\bwdgrodata1\CTAProjdata\" TargetMode="External"/><Relationship Id="rId30" Type="http://schemas.openxmlformats.org/officeDocument/2006/relationships/hyperlink" Target="file:///\\10.100.34.9\bwdgrodata1\CTAProjdata\" TargetMode="External"/><Relationship Id="rId8" Type="http://schemas.openxmlformats.org/officeDocument/2006/relationships/hyperlink" Target="../../../../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file:///\\10.100.34.9\bwdgrodata1\CTAProjdata\" TargetMode="External"/><Relationship Id="rId13" Type="http://schemas.openxmlformats.org/officeDocument/2006/relationships/hyperlink" Target="file:///\\10.100.34.9\bwdgrodata1\CTAProjdata\" TargetMode="External"/><Relationship Id="rId18" Type="http://schemas.openxmlformats.org/officeDocument/2006/relationships/hyperlink" Target="file:///\\10.100.34.9\bwdgrodata1\CTAProjdata\" TargetMode="External"/><Relationship Id="rId26" Type="http://schemas.openxmlformats.org/officeDocument/2006/relationships/hyperlink" Target="file:///\\10.100.34.9\bwdgrodata1\CTAProjdata\" TargetMode="External"/><Relationship Id="rId3" Type="http://schemas.openxmlformats.org/officeDocument/2006/relationships/hyperlink" Target="file:///\\10.100.34.9\bwdgrodata1\CTAProjdata\" TargetMode="External"/><Relationship Id="rId21" Type="http://schemas.openxmlformats.org/officeDocument/2006/relationships/hyperlink" Target="file:///\\10.100.34.9\bwdgrodata1\CTAProjdata\" TargetMode="External"/><Relationship Id="rId7" Type="http://schemas.openxmlformats.org/officeDocument/2006/relationships/hyperlink" Target="file:///\\10.100.34.9\bwdgrodata1\CTAProjdata\" TargetMode="External"/><Relationship Id="rId12" Type="http://schemas.openxmlformats.org/officeDocument/2006/relationships/hyperlink" Target="file:///\\10.100.34.9\bwdgrodata1\CTAProjdata\" TargetMode="External"/><Relationship Id="rId17" Type="http://schemas.openxmlformats.org/officeDocument/2006/relationships/hyperlink" Target="file:///\\10.100.34.9\bwdgrodata1\CTAProjdata\" TargetMode="External"/><Relationship Id="rId25" Type="http://schemas.openxmlformats.org/officeDocument/2006/relationships/hyperlink" Target="file:///\\10.100.34.9\bwdgrodata1\CTAProjdata\" TargetMode="External"/><Relationship Id="rId2" Type="http://schemas.openxmlformats.org/officeDocument/2006/relationships/hyperlink" Target="file:///\\10.100.34.9\bwdgrodata1\CTAProjdata\" TargetMode="External"/><Relationship Id="rId16" Type="http://schemas.openxmlformats.org/officeDocument/2006/relationships/hyperlink" Target="file:///\\10.100.34.9\bwdgrodata1\CTAProjdata\" TargetMode="External"/><Relationship Id="rId20" Type="http://schemas.openxmlformats.org/officeDocument/2006/relationships/hyperlink" Target="file:///\\10.100.34.9\bwdgrodata1\CTAProjdata\" TargetMode="External"/><Relationship Id="rId29" Type="http://schemas.openxmlformats.org/officeDocument/2006/relationships/hyperlink" Target="file:///\\10.100.34.9\bwdgrodata1\CTAProjdata\" TargetMode="External"/><Relationship Id="rId1" Type="http://schemas.openxmlformats.org/officeDocument/2006/relationships/hyperlink" Target="file:///\\10.100.34.9\bwdgrodata1\CTAProjdata\" TargetMode="External"/><Relationship Id="rId6" Type="http://schemas.openxmlformats.org/officeDocument/2006/relationships/hyperlink" Target="file:///\\10.100.34.9\bwdgrodata1\CTAProjdata\" TargetMode="External"/><Relationship Id="rId11" Type="http://schemas.openxmlformats.org/officeDocument/2006/relationships/hyperlink" Target="file:///\\10.100.34.9\bwdgrodata1\CTAProjdata\" TargetMode="External"/><Relationship Id="rId24" Type="http://schemas.openxmlformats.org/officeDocument/2006/relationships/hyperlink" Target="file:///\\10.100.34.9\bwdgrodata1\CTAProjdata\" TargetMode="External"/><Relationship Id="rId5" Type="http://schemas.openxmlformats.org/officeDocument/2006/relationships/hyperlink" Target="file:///\\10.100.34.9\bwdgrodata1\CTAProjdata\" TargetMode="External"/><Relationship Id="rId15" Type="http://schemas.openxmlformats.org/officeDocument/2006/relationships/hyperlink" Target="file:///\\10.100.34.9\bwdgrodata1\CTAProjdata\" TargetMode="External"/><Relationship Id="rId23" Type="http://schemas.openxmlformats.org/officeDocument/2006/relationships/hyperlink" Target="file:///\\10.100.34.9\bwdgrodata1\CTAProjdata\" TargetMode="External"/><Relationship Id="rId28" Type="http://schemas.openxmlformats.org/officeDocument/2006/relationships/hyperlink" Target="file:///\\10.100.34.9\bwdgrodata1\CTAProjdata\" TargetMode="External"/><Relationship Id="rId10" Type="http://schemas.openxmlformats.org/officeDocument/2006/relationships/hyperlink" Target="file:///\\10.100.34.9\bwdgrodata1\CTAProjdata\" TargetMode="External"/><Relationship Id="rId19" Type="http://schemas.openxmlformats.org/officeDocument/2006/relationships/hyperlink" Target="file:///\\10.100.34.9\bwdgrodata1\CTAProjdata\" TargetMode="External"/><Relationship Id="rId4" Type="http://schemas.openxmlformats.org/officeDocument/2006/relationships/hyperlink" Target="file:///\\10.100.34.9\bwdgrodata1\CTAProjdata\" TargetMode="External"/><Relationship Id="rId9" Type="http://schemas.openxmlformats.org/officeDocument/2006/relationships/hyperlink" Target="file:///\\10.100.34.9\bwdgrodata1\CTAProjdata\" TargetMode="External"/><Relationship Id="rId14" Type="http://schemas.openxmlformats.org/officeDocument/2006/relationships/hyperlink" Target="file:///\\10.100.34.9\bwdgrodata1\CTAProjdata\" TargetMode="External"/><Relationship Id="rId22" Type="http://schemas.openxmlformats.org/officeDocument/2006/relationships/hyperlink" Target="file:///\\10.100.34.9\bwdgrodata1\CTAProjdata\" TargetMode="External"/><Relationship Id="rId27" Type="http://schemas.openxmlformats.org/officeDocument/2006/relationships/hyperlink" Target="file:///\\10.100.34.9\bwdgrodata1\CTAProjdata\" TargetMode="External"/><Relationship Id="rId30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10.100.34.9\bwdgrodata1\CTAProjdata\" TargetMode="External"/><Relationship Id="rId13" Type="http://schemas.openxmlformats.org/officeDocument/2006/relationships/hyperlink" Target="file:///\\10.100.34.9\bwdgrodata1\CTAProjdata\" TargetMode="External"/><Relationship Id="rId18" Type="http://schemas.openxmlformats.org/officeDocument/2006/relationships/hyperlink" Target="file:///\\10.100.34.9\bwdgrodata1\CTAProjdata\" TargetMode="External"/><Relationship Id="rId3" Type="http://schemas.openxmlformats.org/officeDocument/2006/relationships/hyperlink" Target="file:///\\10.100.34.9\bwdgrodata1\CTAProjdata\" TargetMode="External"/><Relationship Id="rId21" Type="http://schemas.openxmlformats.org/officeDocument/2006/relationships/hyperlink" Target="file:///\\10.100.34.9\bwdgrodata1\CTAProjdata\" TargetMode="External"/><Relationship Id="rId7" Type="http://schemas.openxmlformats.org/officeDocument/2006/relationships/hyperlink" Target="file:///\\10.100.34.9\bwdgrodata1\CTAProjdata\" TargetMode="External"/><Relationship Id="rId12" Type="http://schemas.openxmlformats.org/officeDocument/2006/relationships/hyperlink" Target="file:///\\10.100.34.9\bwdgrodata1\CTAProjdata\" TargetMode="External"/><Relationship Id="rId17" Type="http://schemas.openxmlformats.org/officeDocument/2006/relationships/hyperlink" Target="file:///\\10.100.34.9\bwdgrodata1\CTAProjdata\" TargetMode="External"/><Relationship Id="rId2" Type="http://schemas.openxmlformats.org/officeDocument/2006/relationships/hyperlink" Target="file:///\\10.100.34.9\bwdgrodata1\CTAProjdata\" TargetMode="External"/><Relationship Id="rId16" Type="http://schemas.openxmlformats.org/officeDocument/2006/relationships/hyperlink" Target="file:///\\10.100.34.9\bwdgrodata1\CTAProjdata\" TargetMode="External"/><Relationship Id="rId20" Type="http://schemas.openxmlformats.org/officeDocument/2006/relationships/hyperlink" Target="file:///\\10.100.34.9\bwdgrodata1\CTAProjdata\" TargetMode="External"/><Relationship Id="rId1" Type="http://schemas.openxmlformats.org/officeDocument/2006/relationships/hyperlink" Target="file:///\\10.100.34.9\bwdgrodata1\CTAProjdata\" TargetMode="External"/><Relationship Id="rId6" Type="http://schemas.openxmlformats.org/officeDocument/2006/relationships/hyperlink" Target="file:///\\10.100.34.9\bwdgrodata1\CTAProjdata\" TargetMode="External"/><Relationship Id="rId11" Type="http://schemas.openxmlformats.org/officeDocument/2006/relationships/hyperlink" Target="file:///\\10.100.34.9\bwdgrodata1\CTAProjdata\" TargetMode="External"/><Relationship Id="rId24" Type="http://schemas.openxmlformats.org/officeDocument/2006/relationships/printerSettings" Target="../printerSettings/printerSettings6.bin"/><Relationship Id="rId5" Type="http://schemas.openxmlformats.org/officeDocument/2006/relationships/hyperlink" Target="file:///\\10.100.34.9\bwdgrodata1\CTAProjdata\" TargetMode="External"/><Relationship Id="rId15" Type="http://schemas.openxmlformats.org/officeDocument/2006/relationships/hyperlink" Target="file:///\\10.100.34.9\bwdgrodata1\CTAProjdata\" TargetMode="External"/><Relationship Id="rId23" Type="http://schemas.openxmlformats.org/officeDocument/2006/relationships/hyperlink" Target="file:///\\10.100.34.9\bwdgrodata1\CTAProjdata\" TargetMode="External"/><Relationship Id="rId10" Type="http://schemas.openxmlformats.org/officeDocument/2006/relationships/hyperlink" Target="file:///\\10.100.34.9\bwdgrodata1\CTAProjdata\" TargetMode="External"/><Relationship Id="rId19" Type="http://schemas.openxmlformats.org/officeDocument/2006/relationships/hyperlink" Target="file:///\\10.100.34.9\bwdgrodata1\CTAProjdata\" TargetMode="External"/><Relationship Id="rId4" Type="http://schemas.openxmlformats.org/officeDocument/2006/relationships/hyperlink" Target="file:///\\10.100.34.9\bwdgrodata1\CTAProjdata\" TargetMode="External"/><Relationship Id="rId9" Type="http://schemas.openxmlformats.org/officeDocument/2006/relationships/hyperlink" Target="file:///\\10.100.34.9\bwdgrodata1\CTAProjdata\" TargetMode="External"/><Relationship Id="rId14" Type="http://schemas.openxmlformats.org/officeDocument/2006/relationships/hyperlink" Target="file:///\\10.100.34.9\bwdgrodata1\CTAProjdata\" TargetMode="External"/><Relationship Id="rId22" Type="http://schemas.openxmlformats.org/officeDocument/2006/relationships/hyperlink" Target="file:///\\10.100.34.9\bwdgrodata1\CTAProjdata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0C71A-AE39-4FEF-9610-7521DCC38ADD}">
  <sheetPr codeName="Sheet2">
    <pageSetUpPr fitToPage="1"/>
  </sheetPr>
  <dimension ref="A1:EG1875"/>
  <sheetViews>
    <sheetView tabSelected="1" zoomScaleNormal="100" zoomScaleSheetLayoutView="100" workbookViewId="0">
      <pane xSplit="2" ySplit="9" topLeftCell="C10" activePane="bottomRight" state="frozen"/>
      <selection activeCell="B1" sqref="B1"/>
      <selection pane="topRight" activeCell="C1" sqref="C1"/>
      <selection pane="bottomLeft" activeCell="B10" sqref="B10"/>
      <selection pane="bottomRight" activeCell="C28" sqref="B28:C28"/>
    </sheetView>
  </sheetViews>
  <sheetFormatPr defaultColWidth="8.85546875" defaultRowHeight="36" customHeight="1" x14ac:dyDescent="0.25"/>
  <cols>
    <col min="1" max="1" width="9.85546875" style="6" hidden="1" customWidth="1"/>
    <col min="2" max="2" width="19.28515625" style="23" bestFit="1" customWidth="1"/>
    <col min="3" max="3" width="3.7109375" style="6" customWidth="1"/>
    <col min="4" max="4" width="7" style="6" customWidth="1"/>
    <col min="5" max="5" width="6.28515625" style="6" customWidth="1"/>
    <col min="6" max="6" width="20.85546875" style="6" hidden="1" customWidth="1"/>
    <col min="7" max="7" width="4.5703125" style="6" customWidth="1"/>
    <col min="8" max="8" width="10.140625" style="6" hidden="1" customWidth="1"/>
    <col min="9" max="9" width="22.140625" style="6" hidden="1" customWidth="1"/>
    <col min="10" max="10" width="8" style="6" bestFit="1" customWidth="1"/>
    <col min="11" max="11" width="16.28515625" style="23" customWidth="1"/>
    <col min="12" max="12" width="47.5703125" style="23" bestFit="1" customWidth="1"/>
    <col min="13" max="13" width="12.28515625" style="23" hidden="1" customWidth="1"/>
    <col min="14" max="14" width="9" style="23" hidden="1" customWidth="1"/>
    <col min="15" max="15" width="12.28515625" style="6" hidden="1" customWidth="1"/>
    <col min="16" max="16" width="10.42578125" style="6" hidden="1" customWidth="1"/>
    <col min="17" max="17" width="11.5703125" style="6" customWidth="1"/>
    <col min="18" max="18" width="12.5703125" style="6" customWidth="1"/>
    <col min="19" max="19" width="9.85546875" style="6" customWidth="1"/>
    <col min="20" max="20" width="14.140625" style="6" bestFit="1" customWidth="1"/>
    <col min="21" max="23" width="9.85546875" style="6" customWidth="1"/>
    <col min="24" max="24" width="9.42578125" style="6" bestFit="1" customWidth="1"/>
    <col min="25" max="25" width="7.5703125" style="6" hidden="1" customWidth="1"/>
    <col min="26" max="26" width="7.42578125" style="6" customWidth="1"/>
    <col min="27" max="27" width="10.42578125" style="6" customWidth="1"/>
    <col min="28" max="28" width="14.28515625" style="6" customWidth="1"/>
    <col min="29" max="29" width="12.28515625" style="6" customWidth="1"/>
    <col min="30" max="30" width="11.5703125" style="6" bestFit="1" customWidth="1"/>
    <col min="31" max="31" width="11.28515625" style="6" customWidth="1"/>
    <col min="32" max="32" width="12.42578125" style="23" customWidth="1"/>
    <col min="33" max="34" width="10.5703125" style="23" customWidth="1"/>
    <col min="35" max="35" width="12.28515625" style="23" bestFit="1" customWidth="1"/>
    <col min="36" max="36" width="34.7109375" style="23" customWidth="1"/>
    <col min="37" max="37" width="15.140625" style="22" customWidth="1"/>
    <col min="38" max="40" width="6.42578125" style="6" bestFit="1" customWidth="1"/>
    <col min="41" max="43" width="7.42578125" style="6" bestFit="1" customWidth="1"/>
    <col min="44" max="45" width="6.28515625" style="6" bestFit="1" customWidth="1"/>
    <col min="46" max="48" width="7.28515625" style="6" bestFit="1" customWidth="1"/>
    <col min="49" max="49" width="6.28515625" style="6" bestFit="1" customWidth="1"/>
    <col min="50" max="50" width="7.28515625" style="6" bestFit="1" customWidth="1"/>
    <col min="51" max="51" width="7.28515625" style="4" bestFit="1" customWidth="1"/>
    <col min="52" max="52" width="6.85546875" style="4" bestFit="1" customWidth="1"/>
    <col min="53" max="53" width="6.28515625" style="6" bestFit="1" customWidth="1"/>
    <col min="54" max="56" width="7.28515625" style="4" customWidth="1"/>
    <col min="57" max="58" width="6.28515625" style="4" customWidth="1"/>
    <col min="59" max="61" width="7.28515625" style="4" customWidth="1"/>
    <col min="62" max="62" width="5.5703125" style="4" customWidth="1"/>
    <col min="63" max="65" width="6.5703125" style="4" customWidth="1"/>
    <col min="66" max="66" width="6" style="4" customWidth="1"/>
    <col min="67" max="137" width="7" style="4" customWidth="1"/>
    <col min="138" max="16384" width="8.85546875" style="6"/>
  </cols>
  <sheetData>
    <row r="1" spans="1:137" s="1" customFormat="1" ht="15" x14ac:dyDescent="0.25">
      <c r="B1" s="24"/>
      <c r="K1" s="24"/>
      <c r="L1" s="24"/>
      <c r="M1" s="24"/>
      <c r="N1" s="24"/>
      <c r="AF1" s="24"/>
      <c r="AG1" s="24"/>
      <c r="AH1" s="24"/>
      <c r="AI1" s="24"/>
      <c r="AJ1" s="24"/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>
        <v>1</v>
      </c>
      <c r="AZ1">
        <v>1</v>
      </c>
      <c r="BA1" s="1">
        <v>1</v>
      </c>
      <c r="BB1"/>
      <c r="BC1"/>
      <c r="BD1"/>
      <c r="BZ1" s="1" t="s">
        <v>36</v>
      </c>
    </row>
    <row r="2" spans="1:137" s="1" customFormat="1" ht="15" x14ac:dyDescent="0.25">
      <c r="B2" s="24"/>
      <c r="K2" s="24"/>
      <c r="L2" s="24"/>
      <c r="M2" s="24"/>
      <c r="N2" s="24"/>
      <c r="AF2" s="24"/>
      <c r="AG2" s="24"/>
      <c r="AH2" s="24"/>
      <c r="AI2" s="24"/>
      <c r="AJ2" s="24"/>
      <c r="AY2"/>
      <c r="AZ2"/>
      <c r="BB2"/>
      <c r="BC2"/>
      <c r="BD2"/>
    </row>
    <row r="3" spans="1:137" s="1" customFormat="1" ht="15" x14ac:dyDescent="0.25">
      <c r="B3" s="25"/>
      <c r="C3" s="14"/>
      <c r="D3" s="14"/>
      <c r="E3" s="14"/>
      <c r="F3" s="14"/>
      <c r="G3" s="14"/>
      <c r="H3" s="14"/>
      <c r="I3" s="14"/>
      <c r="J3" s="14"/>
      <c r="K3" s="25"/>
      <c r="L3" s="25"/>
      <c r="M3" s="25"/>
      <c r="N3" s="25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5"/>
      <c r="AD3" s="14"/>
      <c r="AE3" s="14"/>
      <c r="AF3" s="25"/>
      <c r="AG3" s="25"/>
      <c r="AH3" s="25"/>
      <c r="AI3" s="25"/>
      <c r="AJ3" s="2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Y3"/>
      <c r="AZ3"/>
      <c r="BB3"/>
      <c r="BC3"/>
      <c r="BD3"/>
    </row>
    <row r="4" spans="1:137" s="1" customFormat="1" ht="15" x14ac:dyDescent="0.25">
      <c r="B4" s="25"/>
      <c r="C4" s="14"/>
      <c r="D4" s="14"/>
      <c r="E4" s="14"/>
      <c r="F4" s="14"/>
      <c r="G4" s="14"/>
      <c r="H4" s="14"/>
      <c r="I4" s="14"/>
      <c r="J4" s="14"/>
      <c r="K4" s="25"/>
      <c r="L4" s="25"/>
      <c r="M4" s="25"/>
      <c r="N4" s="25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5"/>
      <c r="AD4" s="14"/>
      <c r="AE4" s="14"/>
      <c r="AF4" s="25"/>
      <c r="AG4" s="25"/>
      <c r="AH4" s="25"/>
      <c r="AI4" s="25"/>
      <c r="AJ4" s="2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Y4"/>
      <c r="AZ4"/>
      <c r="BB4"/>
      <c r="BC4"/>
      <c r="BD4"/>
    </row>
    <row r="5" spans="1:137" s="1" customFormat="1" ht="15" x14ac:dyDescent="0.25">
      <c r="B5" s="24"/>
      <c r="K5" s="24"/>
      <c r="L5" s="24"/>
      <c r="M5" s="24"/>
      <c r="N5" s="24"/>
      <c r="AF5" s="24"/>
      <c r="AG5" s="24"/>
      <c r="AH5" s="24"/>
      <c r="AI5" s="24"/>
      <c r="AJ5" s="24"/>
      <c r="AY5"/>
      <c r="AZ5"/>
      <c r="BB5"/>
      <c r="BC5"/>
      <c r="BD5"/>
    </row>
    <row r="6" spans="1:137" ht="15.2" customHeight="1" x14ac:dyDescent="0.25">
      <c r="A6" s="70" t="s">
        <v>28</v>
      </c>
      <c r="B6" s="71" t="s">
        <v>395</v>
      </c>
      <c r="C6" s="72" t="s">
        <v>859</v>
      </c>
      <c r="D6" s="68" t="s">
        <v>215</v>
      </c>
      <c r="E6" s="72" t="s">
        <v>1</v>
      </c>
      <c r="F6" s="73" t="s">
        <v>2</v>
      </c>
      <c r="G6" s="72" t="s">
        <v>3</v>
      </c>
      <c r="H6" s="72" t="s">
        <v>4</v>
      </c>
      <c r="I6" s="72" t="s">
        <v>5</v>
      </c>
      <c r="J6" s="68" t="s">
        <v>6</v>
      </c>
      <c r="K6" s="68" t="s">
        <v>7</v>
      </c>
      <c r="L6" s="68" t="s">
        <v>8</v>
      </c>
      <c r="M6" s="68" t="s">
        <v>9</v>
      </c>
      <c r="N6" s="68" t="s">
        <v>275</v>
      </c>
      <c r="O6" s="68" t="s">
        <v>29</v>
      </c>
      <c r="P6" s="68" t="s">
        <v>741</v>
      </c>
      <c r="Q6" s="68" t="s">
        <v>10</v>
      </c>
      <c r="R6" s="68" t="s">
        <v>11</v>
      </c>
      <c r="S6" s="68" t="s">
        <v>12</v>
      </c>
      <c r="T6" s="68" t="s">
        <v>13</v>
      </c>
      <c r="U6" s="68" t="s">
        <v>14</v>
      </c>
      <c r="V6" s="68" t="s">
        <v>15</v>
      </c>
      <c r="W6" s="68" t="s">
        <v>16</v>
      </c>
      <c r="X6" s="68" t="s">
        <v>930</v>
      </c>
      <c r="Y6" s="68" t="s">
        <v>30</v>
      </c>
      <c r="Z6" s="68" t="s">
        <v>18</v>
      </c>
      <c r="AA6" s="69" t="s">
        <v>19</v>
      </c>
      <c r="AB6" s="68" t="s">
        <v>20</v>
      </c>
      <c r="AC6" s="68" t="s">
        <v>21</v>
      </c>
      <c r="AD6" s="68" t="s">
        <v>22</v>
      </c>
      <c r="AE6" s="68" t="s">
        <v>396</v>
      </c>
      <c r="AF6" s="68" t="s">
        <v>24</v>
      </c>
      <c r="AG6" s="68" t="s">
        <v>31</v>
      </c>
      <c r="AH6" s="68" t="s">
        <v>25</v>
      </c>
      <c r="AI6" s="68" t="s">
        <v>26</v>
      </c>
      <c r="AJ6" s="68" t="s">
        <v>27</v>
      </c>
      <c r="AK6" s="26" t="s">
        <v>32</v>
      </c>
      <c r="AL6" s="6">
        <v>1565</v>
      </c>
      <c r="AM6" s="6">
        <v>1565</v>
      </c>
      <c r="AN6" s="6">
        <v>1565</v>
      </c>
      <c r="AO6" s="6">
        <v>1565</v>
      </c>
      <c r="AP6" s="6">
        <v>1565</v>
      </c>
      <c r="AQ6" s="6">
        <v>1565</v>
      </c>
      <c r="AR6" s="6">
        <v>1252</v>
      </c>
      <c r="AS6" s="6">
        <v>1565</v>
      </c>
      <c r="AT6" s="6">
        <v>1565</v>
      </c>
      <c r="AU6" s="6">
        <v>1565</v>
      </c>
      <c r="AV6" s="6">
        <v>1565</v>
      </c>
      <c r="AW6" s="6">
        <v>1565</v>
      </c>
      <c r="AX6" s="6">
        <v>1565</v>
      </c>
      <c r="AY6" s="6">
        <v>1565</v>
      </c>
      <c r="AZ6" s="6">
        <v>1565</v>
      </c>
      <c r="BA6" s="6">
        <v>1565</v>
      </c>
      <c r="BB6" s="6">
        <v>1565</v>
      </c>
      <c r="BC6" s="6">
        <v>1565</v>
      </c>
      <c r="BD6" s="6">
        <v>939</v>
      </c>
      <c r="BE6" s="6">
        <v>1565</v>
      </c>
      <c r="BF6" s="6">
        <v>1565</v>
      </c>
      <c r="BG6" s="6">
        <v>1565</v>
      </c>
      <c r="BH6" s="6">
        <v>626</v>
      </c>
      <c r="BI6" s="6">
        <v>1565</v>
      </c>
      <c r="BJ6" s="6">
        <v>1565</v>
      </c>
      <c r="BK6" s="6">
        <v>1565</v>
      </c>
      <c r="BL6" s="6">
        <v>1565</v>
      </c>
      <c r="BM6" s="6">
        <v>1565</v>
      </c>
      <c r="BN6" s="6">
        <v>1565</v>
      </c>
      <c r="BO6" s="6">
        <v>1565</v>
      </c>
      <c r="BP6" s="6">
        <v>1565</v>
      </c>
      <c r="BQ6" s="6">
        <v>1565</v>
      </c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</row>
    <row r="7" spans="1:137" ht="15.2" customHeight="1" x14ac:dyDescent="0.25">
      <c r="A7" s="70"/>
      <c r="B7" s="71"/>
      <c r="C7" s="72"/>
      <c r="D7" s="68"/>
      <c r="E7" s="72"/>
      <c r="F7" s="73"/>
      <c r="G7" s="72"/>
      <c r="H7" s="72"/>
      <c r="I7" s="72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26">
        <v>100</v>
      </c>
      <c r="AL7" s="2">
        <v>45495</v>
      </c>
      <c r="AM7" s="2">
        <v>45502</v>
      </c>
      <c r="AN7" s="2">
        <v>45509</v>
      </c>
      <c r="AO7" s="2">
        <v>45516</v>
      </c>
      <c r="AP7" s="2">
        <v>45523</v>
      </c>
      <c r="AQ7" s="2">
        <v>45530</v>
      </c>
      <c r="AR7" s="2">
        <v>45537</v>
      </c>
      <c r="AS7" s="2">
        <v>45544</v>
      </c>
      <c r="AT7" s="2">
        <v>45551</v>
      </c>
      <c r="AU7" s="2">
        <v>45558</v>
      </c>
      <c r="AV7" s="2">
        <v>45565</v>
      </c>
      <c r="AW7" s="2">
        <v>45572</v>
      </c>
      <c r="AX7" s="2">
        <v>45579</v>
      </c>
      <c r="AY7" s="2">
        <v>45586</v>
      </c>
      <c r="AZ7" s="2">
        <v>45593</v>
      </c>
      <c r="BA7" s="2">
        <v>45600</v>
      </c>
      <c r="BB7" s="2">
        <v>45607</v>
      </c>
      <c r="BC7" s="2">
        <v>45614</v>
      </c>
      <c r="BD7" s="2">
        <v>45621</v>
      </c>
      <c r="BE7" s="2">
        <v>45628</v>
      </c>
      <c r="BF7" s="2">
        <v>45635</v>
      </c>
      <c r="BG7" s="2">
        <v>45642</v>
      </c>
      <c r="BH7" s="2">
        <v>45649</v>
      </c>
      <c r="BI7" s="2">
        <v>45656</v>
      </c>
      <c r="BJ7" s="2">
        <v>45663</v>
      </c>
      <c r="BK7" s="2">
        <v>45670</v>
      </c>
      <c r="BL7" s="2">
        <v>45677</v>
      </c>
      <c r="BM7" s="2">
        <v>45684</v>
      </c>
      <c r="BN7" s="2">
        <v>45691</v>
      </c>
      <c r="BO7" s="2">
        <v>45698</v>
      </c>
      <c r="BP7" s="2">
        <v>45705</v>
      </c>
      <c r="BQ7" s="2">
        <v>45712</v>
      </c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</row>
    <row r="8" spans="1:137" ht="15.2" customHeight="1" x14ac:dyDescent="0.25">
      <c r="A8" s="70"/>
      <c r="B8" s="71"/>
      <c r="C8" s="72"/>
      <c r="D8" s="68"/>
      <c r="E8" s="72"/>
      <c r="F8" s="73"/>
      <c r="G8" s="72"/>
      <c r="H8" s="72"/>
      <c r="I8" s="72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26" t="s">
        <v>33</v>
      </c>
      <c r="AL8" s="6">
        <f t="shared" ref="AL8:BQ8" si="0">SUM(AL10:AL368)</f>
        <v>1568</v>
      </c>
      <c r="AM8" s="6">
        <f t="shared" si="0"/>
        <v>1570</v>
      </c>
      <c r="AN8" s="6">
        <f t="shared" si="0"/>
        <v>1606</v>
      </c>
      <c r="AO8" s="6">
        <f t="shared" si="0"/>
        <v>1562</v>
      </c>
      <c r="AP8" s="6">
        <f t="shared" si="0"/>
        <v>1533</v>
      </c>
      <c r="AQ8" s="6">
        <f t="shared" si="0"/>
        <v>1494</v>
      </c>
      <c r="AR8" s="6">
        <f t="shared" si="0"/>
        <v>1208</v>
      </c>
      <c r="AS8" s="6">
        <f t="shared" si="0"/>
        <v>1539</v>
      </c>
      <c r="AT8" s="6">
        <f t="shared" si="0"/>
        <v>1351</v>
      </c>
      <c r="AU8" s="6">
        <f t="shared" si="0"/>
        <v>1140</v>
      </c>
      <c r="AV8" s="6">
        <f t="shared" si="0"/>
        <v>1082</v>
      </c>
      <c r="AW8" s="6">
        <f t="shared" si="0"/>
        <v>695</v>
      </c>
      <c r="AX8" s="6">
        <f t="shared" si="0"/>
        <v>472</v>
      </c>
      <c r="AY8" s="6">
        <f t="shared" si="0"/>
        <v>594</v>
      </c>
      <c r="AZ8" s="6">
        <f t="shared" si="0"/>
        <v>668</v>
      </c>
      <c r="BA8" s="6">
        <f t="shared" si="0"/>
        <v>315</v>
      </c>
      <c r="BB8" s="6">
        <f t="shared" si="0"/>
        <v>308</v>
      </c>
      <c r="BC8" s="6">
        <f t="shared" si="0"/>
        <v>220</v>
      </c>
      <c r="BD8" s="6">
        <f t="shared" si="0"/>
        <v>278</v>
      </c>
      <c r="BE8" s="6">
        <f t="shared" si="0"/>
        <v>294</v>
      </c>
      <c r="BF8" s="6">
        <f t="shared" si="0"/>
        <v>254</v>
      </c>
      <c r="BG8" s="6">
        <f t="shared" si="0"/>
        <v>158</v>
      </c>
      <c r="BH8" s="6">
        <f t="shared" si="0"/>
        <v>116</v>
      </c>
      <c r="BI8" s="6">
        <f t="shared" si="0"/>
        <v>222</v>
      </c>
      <c r="BJ8" s="6">
        <f t="shared" si="0"/>
        <v>238</v>
      </c>
      <c r="BK8" s="6">
        <f t="shared" si="0"/>
        <v>118</v>
      </c>
      <c r="BL8" s="6">
        <f t="shared" si="0"/>
        <v>230</v>
      </c>
      <c r="BM8" s="6">
        <f t="shared" si="0"/>
        <v>84</v>
      </c>
      <c r="BN8" s="6">
        <f t="shared" si="0"/>
        <v>150</v>
      </c>
      <c r="BO8" s="6">
        <f t="shared" si="0"/>
        <v>102</v>
      </c>
      <c r="BP8" s="6">
        <f t="shared" si="0"/>
        <v>190</v>
      </c>
      <c r="BQ8" s="6">
        <f t="shared" si="0"/>
        <v>118</v>
      </c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</row>
    <row r="9" spans="1:137" ht="15" x14ac:dyDescent="0.25">
      <c r="A9" s="70"/>
      <c r="B9" s="71"/>
      <c r="C9" s="72"/>
      <c r="D9" s="68"/>
      <c r="E9" s="72"/>
      <c r="F9" s="73"/>
      <c r="G9" s="72"/>
      <c r="H9" s="72"/>
      <c r="I9" s="72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26" t="s">
        <v>34</v>
      </c>
      <c r="AL9" s="49">
        <f t="shared" ref="AL9:BB9" si="1">AL6-AL8</f>
        <v>-3</v>
      </c>
      <c r="AM9" s="49">
        <f t="shared" si="1"/>
        <v>-5</v>
      </c>
      <c r="AN9" s="49">
        <f t="shared" si="1"/>
        <v>-41</v>
      </c>
      <c r="AO9" s="49">
        <f t="shared" si="1"/>
        <v>3</v>
      </c>
      <c r="AP9" s="49">
        <f t="shared" si="1"/>
        <v>32</v>
      </c>
      <c r="AQ9" s="49">
        <f t="shared" si="1"/>
        <v>71</v>
      </c>
      <c r="AR9" s="49">
        <f t="shared" si="1"/>
        <v>44</v>
      </c>
      <c r="AS9" s="49">
        <f t="shared" si="1"/>
        <v>26</v>
      </c>
      <c r="AT9" s="49">
        <f t="shared" si="1"/>
        <v>214</v>
      </c>
      <c r="AU9" s="49">
        <f t="shared" si="1"/>
        <v>425</v>
      </c>
      <c r="AV9" s="49">
        <f t="shared" si="1"/>
        <v>483</v>
      </c>
      <c r="AW9" s="49">
        <f t="shared" si="1"/>
        <v>870</v>
      </c>
      <c r="AX9" s="49">
        <f t="shared" si="1"/>
        <v>1093</v>
      </c>
      <c r="AY9" s="49">
        <f t="shared" si="1"/>
        <v>971</v>
      </c>
      <c r="AZ9" s="49">
        <f t="shared" si="1"/>
        <v>897</v>
      </c>
      <c r="BA9" s="49">
        <f t="shared" si="1"/>
        <v>1250</v>
      </c>
      <c r="BB9" s="49">
        <f t="shared" si="1"/>
        <v>1257</v>
      </c>
      <c r="BC9" s="49">
        <f t="shared" ref="BC9:BI9" si="2">BC6-BC8</f>
        <v>1345</v>
      </c>
      <c r="BD9" s="49">
        <f t="shared" si="2"/>
        <v>661</v>
      </c>
      <c r="BE9" s="49">
        <f t="shared" si="2"/>
        <v>1271</v>
      </c>
      <c r="BF9" s="49">
        <f t="shared" si="2"/>
        <v>1311</v>
      </c>
      <c r="BG9" s="49">
        <f t="shared" si="2"/>
        <v>1407</v>
      </c>
      <c r="BH9" s="49">
        <f t="shared" si="2"/>
        <v>510</v>
      </c>
      <c r="BI9" s="49">
        <f t="shared" si="2"/>
        <v>1343</v>
      </c>
      <c r="BJ9" s="49">
        <f t="shared" ref="BJ9:BL9" si="3">BJ6-BJ8</f>
        <v>1327</v>
      </c>
      <c r="BK9" s="49">
        <f t="shared" si="3"/>
        <v>1447</v>
      </c>
      <c r="BL9" s="49">
        <f t="shared" si="3"/>
        <v>1335</v>
      </c>
      <c r="BM9" s="49">
        <f t="shared" ref="BM9:BO9" si="4">BM6-BM8</f>
        <v>1481</v>
      </c>
      <c r="BN9" s="49">
        <f t="shared" si="4"/>
        <v>1415</v>
      </c>
      <c r="BO9" s="49">
        <f t="shared" si="4"/>
        <v>1463</v>
      </c>
      <c r="BP9" s="49">
        <f t="shared" ref="BP9:BQ9" si="5">BP6-BP8</f>
        <v>1375</v>
      </c>
      <c r="BQ9" s="49">
        <f t="shared" si="5"/>
        <v>1447</v>
      </c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49"/>
      <c r="DB9" s="49"/>
      <c r="DC9" s="49"/>
      <c r="DD9" s="49"/>
      <c r="DE9" s="49"/>
      <c r="DF9" s="49"/>
      <c r="DG9" s="49"/>
      <c r="DH9" s="49"/>
      <c r="DI9" s="49"/>
      <c r="DJ9" s="49"/>
      <c r="DK9" s="49"/>
      <c r="DL9" s="49"/>
      <c r="DM9" s="49"/>
      <c r="DN9" s="49"/>
      <c r="DO9" s="49"/>
      <c r="DP9" s="49"/>
      <c r="DQ9" s="49"/>
      <c r="DR9" s="49"/>
      <c r="DS9" s="49"/>
      <c r="DT9" s="49"/>
      <c r="DU9" s="49"/>
      <c r="DV9" s="49"/>
      <c r="DW9" s="49"/>
      <c r="DX9" s="6"/>
      <c r="DY9" s="6"/>
      <c r="DZ9" s="6"/>
      <c r="EA9" s="6"/>
      <c r="EB9" s="6"/>
      <c r="EC9" s="6"/>
      <c r="ED9" s="6"/>
      <c r="EE9" s="6"/>
      <c r="EF9" s="6"/>
      <c r="EG9" s="6"/>
    </row>
    <row r="10" spans="1:137" ht="36" customHeight="1" x14ac:dyDescent="0.25">
      <c r="A10" s="55">
        <v>45463</v>
      </c>
      <c r="B10" s="58" t="s">
        <v>795</v>
      </c>
      <c r="C10" s="6" t="s">
        <v>35</v>
      </c>
      <c r="D10" s="6" t="s">
        <v>36</v>
      </c>
      <c r="E10" s="6" t="s">
        <v>153</v>
      </c>
      <c r="G10" s="6" t="s">
        <v>157</v>
      </c>
      <c r="H10" s="20"/>
      <c r="J10" s="21">
        <v>113275</v>
      </c>
      <c r="K10" s="23" t="s">
        <v>796</v>
      </c>
      <c r="L10" s="23" t="s">
        <v>865</v>
      </c>
      <c r="M10" s="23" t="s">
        <v>67</v>
      </c>
      <c r="N10" s="23" t="s">
        <v>38</v>
      </c>
      <c r="Q10" s="23" t="s">
        <v>837</v>
      </c>
      <c r="R10" s="19">
        <v>45471</v>
      </c>
      <c r="S10" s="19">
        <v>45474</v>
      </c>
      <c r="T10" s="19">
        <v>45481</v>
      </c>
      <c r="U10" s="19">
        <v>45483</v>
      </c>
      <c r="V10" s="19">
        <f t="shared" ref="V10:V15" si="6">+U10</f>
        <v>45483</v>
      </c>
      <c r="W10" s="19">
        <v>45488</v>
      </c>
      <c r="X10" s="19">
        <v>45490</v>
      </c>
      <c r="Z10" s="6" t="s">
        <v>84</v>
      </c>
      <c r="AA10" s="19">
        <v>45490</v>
      </c>
      <c r="AB10" s="27">
        <v>45491</v>
      </c>
      <c r="AC10" s="27">
        <v>45503</v>
      </c>
      <c r="AD10" s="27">
        <v>45491</v>
      </c>
      <c r="AE10" s="19">
        <v>45495</v>
      </c>
      <c r="AF10" s="23" t="s">
        <v>149</v>
      </c>
      <c r="AG10" s="23" t="s">
        <v>803</v>
      </c>
      <c r="AH10" s="30" t="s">
        <v>78</v>
      </c>
      <c r="AI10" s="23" t="s">
        <v>85</v>
      </c>
      <c r="AK10" s="22">
        <v>86</v>
      </c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</row>
    <row r="11" spans="1:137" ht="36" customHeight="1" x14ac:dyDescent="0.25">
      <c r="A11" s="55">
        <v>45443</v>
      </c>
      <c r="B11" s="50" t="s">
        <v>628</v>
      </c>
      <c r="C11" s="6" t="s">
        <v>35</v>
      </c>
      <c r="D11" s="6" t="s">
        <v>36</v>
      </c>
      <c r="E11" s="6" t="s">
        <v>146</v>
      </c>
      <c r="G11" s="6" t="s">
        <v>157</v>
      </c>
      <c r="H11" s="20"/>
      <c r="J11" s="21">
        <v>112510</v>
      </c>
      <c r="K11" s="23" t="s">
        <v>627</v>
      </c>
      <c r="L11" s="23" t="s">
        <v>629</v>
      </c>
      <c r="M11" s="23" t="s">
        <v>630</v>
      </c>
      <c r="N11" s="23" t="s">
        <v>38</v>
      </c>
      <c r="Q11" s="37" t="s">
        <v>815</v>
      </c>
      <c r="R11" s="19">
        <v>45469</v>
      </c>
      <c r="S11" s="19">
        <v>45467</v>
      </c>
      <c r="T11" s="19">
        <v>45468</v>
      </c>
      <c r="U11" s="19">
        <v>45469</v>
      </c>
      <c r="V11" s="19">
        <f t="shared" si="6"/>
        <v>45469</v>
      </c>
      <c r="W11" s="19">
        <v>45485</v>
      </c>
      <c r="X11" s="19">
        <v>45488</v>
      </c>
      <c r="Z11" s="6" t="s">
        <v>57</v>
      </c>
      <c r="AA11" s="28" t="s">
        <v>1046</v>
      </c>
      <c r="AB11" s="19">
        <v>45483</v>
      </c>
      <c r="AC11" s="27">
        <v>45491</v>
      </c>
      <c r="AD11" s="27">
        <v>45492</v>
      </c>
      <c r="AE11" s="19">
        <v>45495</v>
      </c>
      <c r="AF11" s="23" t="s">
        <v>149</v>
      </c>
      <c r="AG11" s="23" t="s">
        <v>165</v>
      </c>
      <c r="AH11" s="30" t="s">
        <v>78</v>
      </c>
      <c r="AI11" s="23" t="s">
        <v>81</v>
      </c>
      <c r="AJ11" s="54" t="s">
        <v>93</v>
      </c>
      <c r="AK11" s="22">
        <v>42</v>
      </c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</row>
    <row r="12" spans="1:137" ht="36" customHeight="1" x14ac:dyDescent="0.25">
      <c r="A12" s="55">
        <v>45429</v>
      </c>
      <c r="B12" s="21" t="s">
        <v>448</v>
      </c>
      <c r="C12" s="6" t="s">
        <v>36</v>
      </c>
      <c r="D12" s="6" t="s">
        <v>36</v>
      </c>
      <c r="E12" s="6" t="s">
        <v>161</v>
      </c>
      <c r="F12" s="6" t="s">
        <v>147</v>
      </c>
      <c r="G12" s="6" t="s">
        <v>163</v>
      </c>
      <c r="H12" s="20"/>
      <c r="J12" s="21">
        <v>105531</v>
      </c>
      <c r="K12" s="23" t="s">
        <v>447</v>
      </c>
      <c r="L12" s="23" t="s">
        <v>703</v>
      </c>
      <c r="M12" s="23" t="s">
        <v>67</v>
      </c>
      <c r="N12" s="23" t="s">
        <v>38</v>
      </c>
      <c r="Q12" s="23" t="s">
        <v>604</v>
      </c>
      <c r="R12" s="19">
        <v>45355</v>
      </c>
      <c r="S12" s="19">
        <v>45362</v>
      </c>
      <c r="T12" s="19">
        <v>45363</v>
      </c>
      <c r="U12" s="19">
        <v>45364</v>
      </c>
      <c r="V12" s="19">
        <f t="shared" si="6"/>
        <v>45364</v>
      </c>
      <c r="W12" s="19">
        <v>45366</v>
      </c>
      <c r="X12" s="19">
        <v>45455</v>
      </c>
      <c r="Z12" s="6" t="s">
        <v>84</v>
      </c>
      <c r="AA12" s="19">
        <v>45475</v>
      </c>
      <c r="AB12" s="19">
        <v>45468</v>
      </c>
      <c r="AC12" s="27">
        <v>45408</v>
      </c>
      <c r="AD12" s="27">
        <v>45492</v>
      </c>
      <c r="AE12" s="19">
        <v>45497</v>
      </c>
      <c r="AF12" s="23" t="s">
        <v>149</v>
      </c>
      <c r="AG12" s="23" t="s">
        <v>165</v>
      </c>
      <c r="AH12" s="30" t="s">
        <v>78</v>
      </c>
      <c r="AI12" s="23" t="s">
        <v>87</v>
      </c>
      <c r="AJ12" s="23" t="s">
        <v>1082</v>
      </c>
      <c r="AK12" s="22">
        <v>1448</v>
      </c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</row>
    <row r="13" spans="1:137" ht="36" customHeight="1" x14ac:dyDescent="0.25">
      <c r="A13" s="56">
        <v>45429</v>
      </c>
      <c r="B13" s="51" t="s">
        <v>484</v>
      </c>
      <c r="C13" s="41" t="s">
        <v>36</v>
      </c>
      <c r="D13" s="6" t="s">
        <v>35</v>
      </c>
      <c r="E13" s="41" t="s">
        <v>140</v>
      </c>
      <c r="F13" s="41" t="s">
        <v>147</v>
      </c>
      <c r="G13" s="41" t="s">
        <v>142</v>
      </c>
      <c r="H13" s="42"/>
      <c r="I13" s="41"/>
      <c r="J13" s="43">
        <v>105721</v>
      </c>
      <c r="K13" s="44" t="s">
        <v>120</v>
      </c>
      <c r="L13" s="44" t="s">
        <v>873</v>
      </c>
      <c r="M13" s="44" t="s">
        <v>67</v>
      </c>
      <c r="N13" s="44" t="s">
        <v>143</v>
      </c>
      <c r="O13" s="41"/>
      <c r="P13" s="41"/>
      <c r="Q13" s="41" t="s">
        <v>474</v>
      </c>
      <c r="R13" s="40">
        <v>45203</v>
      </c>
      <c r="S13" s="40">
        <v>45334</v>
      </c>
      <c r="T13" s="40">
        <v>45441</v>
      </c>
      <c r="U13" s="40">
        <v>45467</v>
      </c>
      <c r="V13" s="40">
        <f t="shared" si="6"/>
        <v>45467</v>
      </c>
      <c r="W13" s="40">
        <v>45470</v>
      </c>
      <c r="X13" s="40">
        <v>45474</v>
      </c>
      <c r="Y13" s="41"/>
      <c r="Z13" s="41" t="s">
        <v>57</v>
      </c>
      <c r="AA13" s="40">
        <v>45448</v>
      </c>
      <c r="AB13" s="40">
        <v>45469</v>
      </c>
      <c r="AC13" s="45">
        <v>38131</v>
      </c>
      <c r="AD13" s="45">
        <v>45495</v>
      </c>
      <c r="AE13" s="40">
        <v>45495</v>
      </c>
      <c r="AF13" s="44" t="s">
        <v>149</v>
      </c>
      <c r="AG13" s="44" t="s">
        <v>165</v>
      </c>
      <c r="AH13" s="44" t="s">
        <v>78</v>
      </c>
      <c r="AI13" s="44" t="s">
        <v>64</v>
      </c>
      <c r="AJ13" s="44" t="s">
        <v>797</v>
      </c>
      <c r="AK13" s="41">
        <v>3237</v>
      </c>
      <c r="AL13" s="38"/>
      <c r="AM13" s="6">
        <v>25</v>
      </c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</row>
    <row r="14" spans="1:137" ht="36" customHeight="1" x14ac:dyDescent="0.25">
      <c r="A14" s="55">
        <v>45443</v>
      </c>
      <c r="B14" s="50" t="s">
        <v>632</v>
      </c>
      <c r="C14" s="6" t="s">
        <v>35</v>
      </c>
      <c r="D14" s="6" t="s">
        <v>35</v>
      </c>
      <c r="E14" s="6" t="s">
        <v>146</v>
      </c>
      <c r="G14" s="6" t="s">
        <v>157</v>
      </c>
      <c r="H14" s="20"/>
      <c r="J14" s="21">
        <v>112527</v>
      </c>
      <c r="K14" s="23" t="s">
        <v>96</v>
      </c>
      <c r="L14" s="53" t="s">
        <v>849</v>
      </c>
      <c r="M14" s="23" t="s">
        <v>67</v>
      </c>
      <c r="N14" s="23" t="s">
        <v>143</v>
      </c>
      <c r="Q14" s="37" t="s">
        <v>805</v>
      </c>
      <c r="R14" s="28">
        <v>45455</v>
      </c>
      <c r="S14" s="19">
        <v>45476</v>
      </c>
      <c r="T14" s="19">
        <v>45482</v>
      </c>
      <c r="U14" s="19">
        <v>45483</v>
      </c>
      <c r="V14" s="19">
        <f t="shared" si="6"/>
        <v>45483</v>
      </c>
      <c r="W14" s="19">
        <v>45489</v>
      </c>
      <c r="X14" s="19">
        <v>45490</v>
      </c>
      <c r="Z14" s="6" t="s">
        <v>72</v>
      </c>
      <c r="AA14" s="6" t="s">
        <v>474</v>
      </c>
      <c r="AB14" s="19">
        <v>45491</v>
      </c>
      <c r="AC14" s="27">
        <v>45470</v>
      </c>
      <c r="AD14" s="27">
        <v>45495</v>
      </c>
      <c r="AE14" s="19">
        <v>45497</v>
      </c>
      <c r="AF14" s="23" t="s">
        <v>149</v>
      </c>
      <c r="AG14" s="23" t="s">
        <v>165</v>
      </c>
      <c r="AH14" s="30" t="s">
        <v>78</v>
      </c>
      <c r="AI14" s="23" t="s">
        <v>69</v>
      </c>
      <c r="AJ14" s="23" t="s">
        <v>944</v>
      </c>
      <c r="AK14" s="22">
        <v>47</v>
      </c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</row>
    <row r="15" spans="1:137" ht="36" customHeight="1" x14ac:dyDescent="0.25">
      <c r="A15" s="55">
        <v>45429</v>
      </c>
      <c r="B15" s="50" t="s">
        <v>539</v>
      </c>
      <c r="C15" s="6" t="s">
        <v>36</v>
      </c>
      <c r="D15" s="6" t="s">
        <v>35</v>
      </c>
      <c r="E15" s="6" t="s">
        <v>153</v>
      </c>
      <c r="F15" s="6" t="s">
        <v>147</v>
      </c>
      <c r="G15" s="6" t="s">
        <v>163</v>
      </c>
      <c r="H15" s="20"/>
      <c r="J15" s="39">
        <v>107127</v>
      </c>
      <c r="K15" s="23" t="s">
        <v>495</v>
      </c>
      <c r="L15" s="23" t="s">
        <v>1057</v>
      </c>
      <c r="M15" s="23" t="s">
        <v>67</v>
      </c>
      <c r="N15" s="23" t="s">
        <v>143</v>
      </c>
      <c r="Q15" s="23" t="s">
        <v>590</v>
      </c>
      <c r="R15" s="19">
        <v>45373</v>
      </c>
      <c r="S15" s="19">
        <v>45380</v>
      </c>
      <c r="T15" s="19">
        <v>45404</v>
      </c>
      <c r="U15" s="19">
        <v>45447</v>
      </c>
      <c r="V15" s="19">
        <f t="shared" si="6"/>
        <v>45447</v>
      </c>
      <c r="W15" s="19">
        <v>45453</v>
      </c>
      <c r="X15" s="33">
        <v>45476</v>
      </c>
      <c r="Z15" s="6" t="s">
        <v>57</v>
      </c>
      <c r="AA15" s="19">
        <v>45460</v>
      </c>
      <c r="AB15" s="27">
        <v>45474</v>
      </c>
      <c r="AC15" s="27">
        <v>45415</v>
      </c>
      <c r="AD15" s="36">
        <v>45495</v>
      </c>
      <c r="AE15" s="33">
        <v>45497</v>
      </c>
      <c r="AF15" s="23" t="s">
        <v>149</v>
      </c>
      <c r="AG15" s="23" t="s">
        <v>165</v>
      </c>
      <c r="AH15" s="30" t="s">
        <v>78</v>
      </c>
      <c r="AI15" s="23" t="s">
        <v>87</v>
      </c>
      <c r="AJ15" s="23" t="s">
        <v>1072</v>
      </c>
      <c r="AK15" s="22">
        <v>970</v>
      </c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</row>
    <row r="16" spans="1:137" ht="36" customHeight="1" x14ac:dyDescent="0.25">
      <c r="A16" s="55">
        <v>45488</v>
      </c>
      <c r="B16" s="50" t="s">
        <v>955</v>
      </c>
      <c r="C16" s="6" t="s">
        <v>36</v>
      </c>
      <c r="D16" s="6" t="s">
        <v>36</v>
      </c>
      <c r="E16" s="6" t="s">
        <v>147</v>
      </c>
      <c r="H16" s="20"/>
      <c r="J16" s="21" t="s">
        <v>474</v>
      </c>
      <c r="K16" s="23" t="s">
        <v>522</v>
      </c>
      <c r="L16" s="23" t="s">
        <v>956</v>
      </c>
      <c r="M16" s="23" t="s">
        <v>67</v>
      </c>
      <c r="N16" s="23" t="s">
        <v>38</v>
      </c>
      <c r="Q16" s="6" t="s">
        <v>474</v>
      </c>
      <c r="R16" s="6" t="s">
        <v>474</v>
      </c>
      <c r="S16" s="6" t="s">
        <v>474</v>
      </c>
      <c r="T16" s="6" t="s">
        <v>474</v>
      </c>
      <c r="U16" s="6" t="s">
        <v>474</v>
      </c>
      <c r="V16" s="6" t="s">
        <v>474</v>
      </c>
      <c r="W16" s="6" t="s">
        <v>474</v>
      </c>
      <c r="X16" s="6" t="s">
        <v>474</v>
      </c>
      <c r="Z16" s="6" t="s">
        <v>72</v>
      </c>
      <c r="AA16" s="6" t="s">
        <v>474</v>
      </c>
      <c r="AB16" s="6" t="s">
        <v>474</v>
      </c>
      <c r="AC16" s="27">
        <v>45495</v>
      </c>
      <c r="AD16" s="27"/>
      <c r="AE16" s="19">
        <v>45495</v>
      </c>
      <c r="AF16" s="23" t="s">
        <v>149</v>
      </c>
      <c r="AG16" s="23" t="s">
        <v>148</v>
      </c>
      <c r="AH16" s="30" t="s">
        <v>78</v>
      </c>
      <c r="AI16" s="23" t="s">
        <v>87</v>
      </c>
      <c r="AK16" s="22">
        <v>80</v>
      </c>
      <c r="AL16" s="6">
        <v>80</v>
      </c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</row>
    <row r="17" spans="1:137" ht="36" customHeight="1" x14ac:dyDescent="0.25">
      <c r="A17" s="55">
        <v>45491</v>
      </c>
      <c r="B17" s="50" t="s">
        <v>1053</v>
      </c>
      <c r="C17" s="6" t="s">
        <v>36</v>
      </c>
      <c r="D17" s="6" t="s">
        <v>36</v>
      </c>
      <c r="E17" s="6" t="s">
        <v>147</v>
      </c>
      <c r="H17" s="20"/>
      <c r="J17" s="21" t="s">
        <v>474</v>
      </c>
      <c r="K17" s="23" t="s">
        <v>522</v>
      </c>
      <c r="L17" s="23" t="s">
        <v>1054</v>
      </c>
      <c r="M17" s="23" t="s">
        <v>67</v>
      </c>
      <c r="N17" s="23" t="s">
        <v>38</v>
      </c>
      <c r="Q17" s="6" t="s">
        <v>474</v>
      </c>
      <c r="R17" s="6" t="s">
        <v>474</v>
      </c>
      <c r="S17" s="6" t="s">
        <v>474</v>
      </c>
      <c r="T17" s="6" t="s">
        <v>474</v>
      </c>
      <c r="U17" s="6" t="s">
        <v>474</v>
      </c>
      <c r="V17" s="6" t="s">
        <v>474</v>
      </c>
      <c r="W17" s="6" t="s">
        <v>474</v>
      </c>
      <c r="X17" s="6" t="s">
        <v>474</v>
      </c>
      <c r="Z17" s="6" t="s">
        <v>72</v>
      </c>
      <c r="AA17" s="6" t="s">
        <v>474</v>
      </c>
      <c r="AB17" s="6" t="s">
        <v>474</v>
      </c>
      <c r="AC17" s="27">
        <v>45495</v>
      </c>
      <c r="AD17" s="27"/>
      <c r="AE17" s="19">
        <v>45495</v>
      </c>
      <c r="AF17" s="23" t="s">
        <v>149</v>
      </c>
      <c r="AG17" s="23" t="s">
        <v>148</v>
      </c>
      <c r="AH17" s="30" t="s">
        <v>78</v>
      </c>
      <c r="AI17" s="23" t="s">
        <v>87</v>
      </c>
      <c r="AK17" s="22">
        <v>80</v>
      </c>
      <c r="AL17" s="6">
        <v>72</v>
      </c>
      <c r="AM17" s="6">
        <v>72</v>
      </c>
      <c r="AN17" s="6">
        <v>72</v>
      </c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</row>
    <row r="18" spans="1:137" ht="36" customHeight="1" x14ac:dyDescent="0.25">
      <c r="A18" s="56">
        <v>45432</v>
      </c>
      <c r="B18" s="51" t="s">
        <v>512</v>
      </c>
      <c r="C18" s="41" t="s">
        <v>35</v>
      </c>
      <c r="D18" s="6" t="s">
        <v>36</v>
      </c>
      <c r="E18" s="41" t="s">
        <v>140</v>
      </c>
      <c r="F18" s="41"/>
      <c r="G18" s="41" t="s">
        <v>163</v>
      </c>
      <c r="H18" s="42"/>
      <c r="I18" s="41"/>
      <c r="J18" s="43">
        <v>107758</v>
      </c>
      <c r="K18" s="44" t="s">
        <v>112</v>
      </c>
      <c r="L18" s="44" t="s">
        <v>1038</v>
      </c>
      <c r="M18" s="44">
        <v>4574132518</v>
      </c>
      <c r="N18" s="44" t="s">
        <v>38</v>
      </c>
      <c r="O18" s="41"/>
      <c r="P18" s="41"/>
      <c r="Q18" s="44" t="s">
        <v>518</v>
      </c>
      <c r="R18" s="40">
        <v>45418</v>
      </c>
      <c r="S18" s="40">
        <v>45422</v>
      </c>
      <c r="T18" s="40">
        <v>45435</v>
      </c>
      <c r="U18" s="40">
        <v>45457</v>
      </c>
      <c r="V18" s="40">
        <f>+U18</f>
        <v>45457</v>
      </c>
      <c r="W18" s="40">
        <v>45457</v>
      </c>
      <c r="X18" s="40">
        <v>45475</v>
      </c>
      <c r="Y18" s="41"/>
      <c r="Z18" s="41" t="s">
        <v>57</v>
      </c>
      <c r="AA18" s="40">
        <v>45488</v>
      </c>
      <c r="AB18" s="40">
        <v>45491</v>
      </c>
      <c r="AC18" s="45">
        <v>45394</v>
      </c>
      <c r="AD18" s="45">
        <v>45496</v>
      </c>
      <c r="AE18" s="40">
        <v>45498</v>
      </c>
      <c r="AF18" s="44" t="s">
        <v>149</v>
      </c>
      <c r="AG18" s="44" t="s">
        <v>165</v>
      </c>
      <c r="AH18" s="44" t="s">
        <v>78</v>
      </c>
      <c r="AI18" s="44" t="s">
        <v>648</v>
      </c>
      <c r="AJ18" s="44" t="s">
        <v>1071</v>
      </c>
      <c r="AK18" s="41">
        <v>384</v>
      </c>
      <c r="AL18" s="6">
        <v>10</v>
      </c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</row>
    <row r="19" spans="1:137" ht="36" customHeight="1" x14ac:dyDescent="0.25">
      <c r="A19" s="55">
        <v>45429</v>
      </c>
      <c r="B19" s="50" t="s">
        <v>469</v>
      </c>
      <c r="C19" s="6" t="s">
        <v>35</v>
      </c>
      <c r="D19" s="6" t="s">
        <v>36</v>
      </c>
      <c r="E19" s="6" t="s">
        <v>140</v>
      </c>
      <c r="F19" s="6" t="s">
        <v>147</v>
      </c>
      <c r="G19" s="6" t="s">
        <v>163</v>
      </c>
      <c r="H19" s="20"/>
      <c r="J19" s="21">
        <v>110167</v>
      </c>
      <c r="K19" s="23" t="s">
        <v>112</v>
      </c>
      <c r="L19" s="23" t="s">
        <v>1039</v>
      </c>
      <c r="M19" s="23">
        <v>4574043216</v>
      </c>
      <c r="N19" s="23" t="s">
        <v>143</v>
      </c>
      <c r="Q19" s="23" t="s">
        <v>593</v>
      </c>
      <c r="R19" s="19">
        <v>45392</v>
      </c>
      <c r="S19" s="19">
        <v>45397</v>
      </c>
      <c r="T19" s="19">
        <v>45411</v>
      </c>
      <c r="U19" s="19">
        <v>45436</v>
      </c>
      <c r="V19" s="19">
        <f>+U19</f>
        <v>45436</v>
      </c>
      <c r="W19" s="19">
        <v>45441</v>
      </c>
      <c r="X19" s="19">
        <v>45443</v>
      </c>
      <c r="Z19" s="6" t="s">
        <v>57</v>
      </c>
      <c r="AA19" s="19">
        <v>45488</v>
      </c>
      <c r="AB19" s="19">
        <v>45491</v>
      </c>
      <c r="AC19" s="27">
        <v>45446</v>
      </c>
      <c r="AD19" s="36">
        <v>45496</v>
      </c>
      <c r="AE19" s="33">
        <v>45498</v>
      </c>
      <c r="AF19" s="23" t="s">
        <v>149</v>
      </c>
      <c r="AG19" s="23" t="s">
        <v>165</v>
      </c>
      <c r="AH19" s="30" t="s">
        <v>78</v>
      </c>
      <c r="AI19" s="37" t="s">
        <v>648</v>
      </c>
      <c r="AJ19" s="23" t="s">
        <v>1071</v>
      </c>
      <c r="AK19" s="22">
        <v>510</v>
      </c>
      <c r="AL19" s="6">
        <v>10</v>
      </c>
      <c r="BI19" s="6"/>
      <c r="BJ19" s="6"/>
      <c r="BK19" s="6"/>
      <c r="BL19" s="6"/>
      <c r="BM19" s="6"/>
      <c r="BN19" s="6"/>
      <c r="BO19" s="6"/>
      <c r="BP19" s="6"/>
      <c r="BQ19" s="6"/>
      <c r="DX19" s="6"/>
      <c r="DY19" s="6"/>
      <c r="DZ19" s="6"/>
      <c r="EA19" s="6"/>
      <c r="EB19" s="6"/>
      <c r="EC19" s="6"/>
      <c r="ED19" s="6"/>
      <c r="EE19" s="6"/>
      <c r="EF19" s="6"/>
      <c r="EG19" s="6"/>
    </row>
    <row r="20" spans="1:137" ht="36" customHeight="1" x14ac:dyDescent="0.25">
      <c r="A20" s="55">
        <v>45432</v>
      </c>
      <c r="B20" s="50" t="s">
        <v>502</v>
      </c>
      <c r="C20" s="6" t="s">
        <v>35</v>
      </c>
      <c r="D20" s="6" t="s">
        <v>35</v>
      </c>
      <c r="E20" s="6" t="s">
        <v>140</v>
      </c>
      <c r="G20" s="6" t="s">
        <v>166</v>
      </c>
      <c r="H20" s="20"/>
      <c r="J20" s="21">
        <v>110921</v>
      </c>
      <c r="K20" s="23" t="s">
        <v>112</v>
      </c>
      <c r="L20" s="23" t="s">
        <v>771</v>
      </c>
      <c r="M20" s="23" t="s">
        <v>67</v>
      </c>
      <c r="N20" s="23" t="s">
        <v>38</v>
      </c>
      <c r="Q20" s="23" t="s">
        <v>605</v>
      </c>
      <c r="R20" s="19">
        <v>45412</v>
      </c>
      <c r="S20" s="19">
        <v>45411</v>
      </c>
      <c r="T20" s="19">
        <v>45427</v>
      </c>
      <c r="U20" s="19">
        <v>45454</v>
      </c>
      <c r="V20" s="19">
        <f>+U20</f>
        <v>45454</v>
      </c>
      <c r="W20" s="19">
        <v>45454</v>
      </c>
      <c r="X20" s="19">
        <v>45475</v>
      </c>
      <c r="Z20" s="6" t="s">
        <v>57</v>
      </c>
      <c r="AA20" s="19">
        <v>45488</v>
      </c>
      <c r="AB20" s="19">
        <v>45491</v>
      </c>
      <c r="AC20" s="27">
        <v>45486</v>
      </c>
      <c r="AD20" s="36">
        <v>45496</v>
      </c>
      <c r="AE20" s="33">
        <v>45498</v>
      </c>
      <c r="AF20" s="23" t="s">
        <v>149</v>
      </c>
      <c r="AG20" s="23" t="s">
        <v>165</v>
      </c>
      <c r="AH20" s="30" t="s">
        <v>78</v>
      </c>
      <c r="AI20" s="37" t="s">
        <v>648</v>
      </c>
      <c r="AJ20" s="23" t="s">
        <v>1071</v>
      </c>
      <c r="AK20" s="22">
        <v>837</v>
      </c>
      <c r="AL20" s="6">
        <v>10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</row>
    <row r="21" spans="1:137" ht="36" customHeight="1" x14ac:dyDescent="0.25">
      <c r="A21" s="55">
        <v>45432</v>
      </c>
      <c r="B21" s="50" t="s">
        <v>613</v>
      </c>
      <c r="C21" s="6" t="s">
        <v>35</v>
      </c>
      <c r="D21" s="6" t="s">
        <v>36</v>
      </c>
      <c r="E21" s="6" t="s">
        <v>153</v>
      </c>
      <c r="G21" s="6" t="s">
        <v>142</v>
      </c>
      <c r="H21" s="20"/>
      <c r="J21" s="21">
        <v>97910</v>
      </c>
      <c r="K21" s="23" t="s">
        <v>115</v>
      </c>
      <c r="L21" s="23" t="s">
        <v>523</v>
      </c>
      <c r="M21" s="23" t="s">
        <v>67</v>
      </c>
      <c r="N21" s="23" t="s">
        <v>38</v>
      </c>
      <c r="Q21" s="23" t="s">
        <v>603</v>
      </c>
      <c r="R21" s="19">
        <v>45460</v>
      </c>
      <c r="S21" s="19">
        <v>45461</v>
      </c>
      <c r="T21" s="19">
        <v>45464</v>
      </c>
      <c r="U21" s="19">
        <v>45470</v>
      </c>
      <c r="V21" s="19">
        <f>+U21</f>
        <v>45470</v>
      </c>
      <c r="W21" s="19">
        <v>45476</v>
      </c>
      <c r="X21" s="19">
        <v>45482</v>
      </c>
      <c r="Z21" s="6" t="s">
        <v>72</v>
      </c>
      <c r="AA21" s="6" t="s">
        <v>474</v>
      </c>
      <c r="AB21" s="19">
        <v>45483</v>
      </c>
      <c r="AC21" s="64">
        <v>45163</v>
      </c>
      <c r="AD21" s="64">
        <v>45496</v>
      </c>
      <c r="AE21" s="65">
        <v>45499</v>
      </c>
      <c r="AF21" s="23" t="s">
        <v>149</v>
      </c>
      <c r="AG21" s="23" t="s">
        <v>165</v>
      </c>
      <c r="AH21" s="30" t="s">
        <v>78</v>
      </c>
      <c r="AI21" s="23" t="s">
        <v>64</v>
      </c>
      <c r="AJ21" s="23" t="s">
        <v>932</v>
      </c>
      <c r="AK21" s="22">
        <v>80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</row>
    <row r="22" spans="1:137" ht="36" customHeight="1" x14ac:dyDescent="0.25">
      <c r="A22" s="55">
        <v>45432</v>
      </c>
      <c r="B22" s="50" t="s">
        <v>525</v>
      </c>
      <c r="C22" s="6" t="s">
        <v>35</v>
      </c>
      <c r="D22" s="6" t="s">
        <v>36</v>
      </c>
      <c r="E22" s="6" t="s">
        <v>146</v>
      </c>
      <c r="G22" s="6" t="s">
        <v>166</v>
      </c>
      <c r="H22" s="20"/>
      <c r="J22" s="21">
        <v>111492</v>
      </c>
      <c r="K22" s="23" t="s">
        <v>524</v>
      </c>
      <c r="L22" s="23" t="s">
        <v>723</v>
      </c>
      <c r="M22" s="23" t="s">
        <v>67</v>
      </c>
      <c r="N22" s="23" t="s">
        <v>38</v>
      </c>
      <c r="Q22" s="37" t="s">
        <v>641</v>
      </c>
      <c r="R22" s="33">
        <v>45434</v>
      </c>
      <c r="S22" s="19">
        <v>45440</v>
      </c>
      <c r="T22" s="19">
        <v>45469</v>
      </c>
      <c r="U22" s="19">
        <v>45475</v>
      </c>
      <c r="V22" s="19">
        <f>+U22</f>
        <v>45475</v>
      </c>
      <c r="W22" s="19">
        <v>45483</v>
      </c>
      <c r="X22" s="19">
        <v>45490</v>
      </c>
      <c r="Z22" s="6" t="s">
        <v>72</v>
      </c>
      <c r="AA22" s="6" t="s">
        <v>474</v>
      </c>
      <c r="AB22" s="19">
        <v>45496</v>
      </c>
      <c r="AC22" s="27">
        <v>45497</v>
      </c>
      <c r="AD22" s="27"/>
      <c r="AE22" s="19">
        <v>45499</v>
      </c>
      <c r="AF22" s="23" t="s">
        <v>149</v>
      </c>
      <c r="AG22" s="23" t="s">
        <v>165</v>
      </c>
      <c r="AH22" s="30" t="s">
        <v>78</v>
      </c>
      <c r="AI22" s="23" t="s">
        <v>64</v>
      </c>
      <c r="AJ22" s="37" t="s">
        <v>1079</v>
      </c>
      <c r="AK22" s="22">
        <v>237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</row>
    <row r="23" spans="1:137" ht="36" customHeight="1" x14ac:dyDescent="0.25">
      <c r="A23" s="55">
        <v>45485</v>
      </c>
      <c r="B23" s="50" t="s">
        <v>940</v>
      </c>
      <c r="C23" s="6" t="s">
        <v>36</v>
      </c>
      <c r="D23" s="29"/>
      <c r="E23" s="6" t="s">
        <v>146</v>
      </c>
      <c r="H23" s="20"/>
      <c r="J23" s="21">
        <v>110483</v>
      </c>
      <c r="K23" s="23" t="s">
        <v>252</v>
      </c>
      <c r="L23" s="23" t="s">
        <v>941</v>
      </c>
      <c r="M23" s="23" t="s">
        <v>67</v>
      </c>
      <c r="N23" s="23" t="s">
        <v>38</v>
      </c>
      <c r="AC23" s="27">
        <v>45497</v>
      </c>
      <c r="AD23" s="27"/>
      <c r="AE23" s="19">
        <v>45499</v>
      </c>
      <c r="AF23" s="32" t="s">
        <v>152</v>
      </c>
      <c r="AH23" s="30" t="s">
        <v>78</v>
      </c>
      <c r="AI23" s="23" t="s">
        <v>59</v>
      </c>
      <c r="AK23" s="22">
        <v>4</v>
      </c>
      <c r="AL23" s="38">
        <v>4</v>
      </c>
      <c r="DX23" s="6"/>
      <c r="DY23" s="6"/>
      <c r="DZ23" s="6"/>
      <c r="EA23" s="6"/>
      <c r="EB23" s="6"/>
      <c r="EC23" s="6"/>
      <c r="ED23" s="6"/>
      <c r="EE23" s="6"/>
      <c r="EF23" s="6"/>
      <c r="EG23" s="6"/>
    </row>
    <row r="24" spans="1:137" ht="36" customHeight="1" x14ac:dyDescent="0.25">
      <c r="A24" s="55">
        <v>45435</v>
      </c>
      <c r="B24" s="50" t="s">
        <v>610</v>
      </c>
      <c r="C24" s="6" t="s">
        <v>36</v>
      </c>
      <c r="D24" s="6" t="s">
        <v>36</v>
      </c>
      <c r="E24" s="6" t="s">
        <v>146</v>
      </c>
      <c r="G24" s="6" t="s">
        <v>163</v>
      </c>
      <c r="H24" s="20"/>
      <c r="J24" s="21">
        <v>112277</v>
      </c>
      <c r="K24" s="23" t="s">
        <v>388</v>
      </c>
      <c r="L24" s="23" t="s">
        <v>954</v>
      </c>
      <c r="M24" s="23" t="s">
        <v>67</v>
      </c>
      <c r="N24" s="23" t="s">
        <v>164</v>
      </c>
      <c r="Q24" s="6" t="s">
        <v>474</v>
      </c>
      <c r="R24" s="19">
        <v>45469</v>
      </c>
      <c r="S24" s="19">
        <v>45470</v>
      </c>
      <c r="T24" s="19">
        <v>45474</v>
      </c>
      <c r="U24" s="19">
        <v>45476</v>
      </c>
      <c r="V24" s="19">
        <f t="shared" ref="V24:V32" si="7">+U24</f>
        <v>45476</v>
      </c>
      <c r="W24" s="19">
        <v>45492</v>
      </c>
      <c r="X24" s="19">
        <v>45497</v>
      </c>
      <c r="Z24" s="6" t="s">
        <v>72</v>
      </c>
      <c r="AA24" s="19" t="s">
        <v>474</v>
      </c>
      <c r="AB24" s="19">
        <v>45496</v>
      </c>
      <c r="AC24" s="27">
        <v>45561</v>
      </c>
      <c r="AD24" s="27">
        <v>45498</v>
      </c>
      <c r="AE24" s="19">
        <v>45502</v>
      </c>
      <c r="AF24" s="23" t="s">
        <v>149</v>
      </c>
      <c r="AG24" s="23" t="s">
        <v>165</v>
      </c>
      <c r="AH24" s="30" t="s">
        <v>78</v>
      </c>
      <c r="AI24" s="23" t="s">
        <v>69</v>
      </c>
      <c r="AJ24" s="23" t="s">
        <v>1055</v>
      </c>
      <c r="AK24" s="22">
        <v>80</v>
      </c>
      <c r="AL24" s="38">
        <v>10</v>
      </c>
      <c r="AM24" s="38"/>
      <c r="AN24" s="38"/>
      <c r="AO24" s="38"/>
      <c r="AP24" s="38"/>
      <c r="AQ24" s="38"/>
      <c r="BJ24" s="6"/>
      <c r="BK24" s="6"/>
      <c r="BL24" s="6"/>
      <c r="BM24" s="6"/>
      <c r="BN24" s="6"/>
      <c r="BO24" s="6"/>
      <c r="BP24" s="6"/>
      <c r="BQ24" s="6"/>
      <c r="DX24" s="6"/>
      <c r="DY24" s="6"/>
      <c r="DZ24" s="6"/>
      <c r="EA24" s="6"/>
      <c r="EB24" s="6"/>
      <c r="EC24" s="6"/>
      <c r="ED24" s="6"/>
      <c r="EE24" s="6"/>
      <c r="EF24" s="6"/>
      <c r="EG24" s="6"/>
    </row>
    <row r="25" spans="1:137" ht="36" customHeight="1" x14ac:dyDescent="0.25">
      <c r="A25" s="55">
        <v>45427</v>
      </c>
      <c r="B25" s="50" t="s">
        <v>383</v>
      </c>
      <c r="C25" s="6" t="s">
        <v>35</v>
      </c>
      <c r="D25" s="6" t="s">
        <v>35</v>
      </c>
      <c r="E25" s="6" t="s">
        <v>146</v>
      </c>
      <c r="F25" s="6" t="s">
        <v>147</v>
      </c>
      <c r="G25" s="6" t="s">
        <v>166</v>
      </c>
      <c r="H25" s="20"/>
      <c r="J25" s="21">
        <v>111362</v>
      </c>
      <c r="K25" s="23" t="s">
        <v>302</v>
      </c>
      <c r="L25" s="23" t="s">
        <v>609</v>
      </c>
      <c r="M25" s="23" t="s">
        <v>67</v>
      </c>
      <c r="N25" s="23" t="s">
        <v>38</v>
      </c>
      <c r="Q25" s="23" t="s">
        <v>592</v>
      </c>
      <c r="R25" s="19">
        <v>45434</v>
      </c>
      <c r="S25" s="19">
        <v>45440</v>
      </c>
      <c r="T25" s="19">
        <v>45446</v>
      </c>
      <c r="U25" s="19">
        <v>45463</v>
      </c>
      <c r="V25" s="19">
        <f t="shared" si="7"/>
        <v>45463</v>
      </c>
      <c r="W25" s="19">
        <v>45464</v>
      </c>
      <c r="X25" s="19">
        <v>45471</v>
      </c>
      <c r="Z25" s="6" t="s">
        <v>72</v>
      </c>
      <c r="AA25" s="6" t="s">
        <v>474</v>
      </c>
      <c r="AB25" s="36">
        <v>45474</v>
      </c>
      <c r="AC25" s="27">
        <v>45476</v>
      </c>
      <c r="AD25" s="27">
        <v>45498</v>
      </c>
      <c r="AE25" s="19">
        <v>45504</v>
      </c>
      <c r="AF25" s="23" t="s">
        <v>149</v>
      </c>
      <c r="AG25" s="23" t="s">
        <v>165</v>
      </c>
      <c r="AH25" s="30" t="s">
        <v>78</v>
      </c>
      <c r="AI25" s="23" t="s">
        <v>64</v>
      </c>
      <c r="AJ25" s="23" t="s">
        <v>1052</v>
      </c>
      <c r="AK25" s="22">
        <v>230</v>
      </c>
      <c r="AL25" s="38">
        <v>15</v>
      </c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</row>
    <row r="26" spans="1:137" ht="36" customHeight="1" x14ac:dyDescent="0.25">
      <c r="A26" s="55">
        <v>45432</v>
      </c>
      <c r="B26" s="50" t="s">
        <v>526</v>
      </c>
      <c r="D26" s="6" t="s">
        <v>35</v>
      </c>
      <c r="E26" s="6" t="s">
        <v>146</v>
      </c>
      <c r="G26" s="6" t="s">
        <v>157</v>
      </c>
      <c r="H26" s="20"/>
      <c r="J26" s="21">
        <v>111310</v>
      </c>
      <c r="K26" s="23" t="s">
        <v>124</v>
      </c>
      <c r="L26" s="23" t="s">
        <v>854</v>
      </c>
      <c r="M26" s="23">
        <v>64853</v>
      </c>
      <c r="N26" s="23" t="s">
        <v>38</v>
      </c>
      <c r="Q26" s="37" t="s">
        <v>816</v>
      </c>
      <c r="R26" s="28" t="s">
        <v>684</v>
      </c>
      <c r="S26" s="19">
        <v>45474</v>
      </c>
      <c r="T26" s="19">
        <v>45476</v>
      </c>
      <c r="U26" s="19">
        <v>45483</v>
      </c>
      <c r="V26" s="19">
        <f t="shared" si="7"/>
        <v>45483</v>
      </c>
      <c r="W26" s="19">
        <v>45485</v>
      </c>
      <c r="X26" s="19">
        <v>45490</v>
      </c>
      <c r="Z26" s="6" t="s">
        <v>72</v>
      </c>
      <c r="AA26" s="6" t="s">
        <v>474</v>
      </c>
      <c r="AB26" s="19">
        <v>45499</v>
      </c>
      <c r="AC26" s="27">
        <v>45468</v>
      </c>
      <c r="AD26" s="27">
        <v>45502</v>
      </c>
      <c r="AE26" s="19">
        <v>45502</v>
      </c>
      <c r="AF26" s="23" t="s">
        <v>149</v>
      </c>
      <c r="AG26" s="23" t="s">
        <v>165</v>
      </c>
      <c r="AH26" s="30" t="s">
        <v>78</v>
      </c>
      <c r="AI26" s="23" t="s">
        <v>64</v>
      </c>
      <c r="AJ26" s="23" t="s">
        <v>93</v>
      </c>
      <c r="AK26" s="22">
        <v>155</v>
      </c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</row>
    <row r="27" spans="1:137" ht="36" customHeight="1" x14ac:dyDescent="0.25">
      <c r="A27" s="55">
        <v>45457</v>
      </c>
      <c r="B27" s="50" t="s">
        <v>756</v>
      </c>
      <c r="D27" s="6" t="s">
        <v>35</v>
      </c>
      <c r="E27" s="6" t="s">
        <v>153</v>
      </c>
      <c r="G27" s="6" t="s">
        <v>157</v>
      </c>
      <c r="H27" s="20"/>
      <c r="J27" s="21">
        <v>113074</v>
      </c>
      <c r="K27" s="23" t="s">
        <v>302</v>
      </c>
      <c r="L27" s="23" t="s">
        <v>831</v>
      </c>
      <c r="M27" s="23">
        <v>4508771246</v>
      </c>
      <c r="N27" s="23" t="s">
        <v>38</v>
      </c>
      <c r="Q27" s="23" t="s">
        <v>814</v>
      </c>
      <c r="R27" s="19">
        <v>45469</v>
      </c>
      <c r="S27" s="19">
        <v>45489</v>
      </c>
      <c r="T27" s="33">
        <v>45491</v>
      </c>
      <c r="U27" s="19">
        <v>45495</v>
      </c>
      <c r="V27" s="19">
        <f t="shared" si="7"/>
        <v>45495</v>
      </c>
      <c r="W27" s="19">
        <v>45497</v>
      </c>
      <c r="X27" s="19">
        <v>45499</v>
      </c>
      <c r="Z27" s="6" t="s">
        <v>72</v>
      </c>
      <c r="AA27" s="6" t="s">
        <v>474</v>
      </c>
      <c r="AB27" s="19">
        <v>45499</v>
      </c>
      <c r="AC27" s="27">
        <v>45502</v>
      </c>
      <c r="AD27" s="27"/>
      <c r="AE27" s="19">
        <v>45506</v>
      </c>
      <c r="AF27" s="23" t="s">
        <v>149</v>
      </c>
      <c r="AG27" s="23" t="s">
        <v>165</v>
      </c>
      <c r="AH27" s="30" t="s">
        <v>78</v>
      </c>
      <c r="AI27" s="23" t="s">
        <v>64</v>
      </c>
      <c r="AK27" s="22">
        <v>124</v>
      </c>
      <c r="AL27" s="6">
        <v>10</v>
      </c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</row>
    <row r="28" spans="1:137" ht="36" customHeight="1" x14ac:dyDescent="0.25">
      <c r="A28" s="55">
        <v>45420</v>
      </c>
      <c r="B28" s="21" t="s">
        <v>817</v>
      </c>
      <c r="D28" s="6" t="s">
        <v>35</v>
      </c>
      <c r="E28" s="6" t="s">
        <v>146</v>
      </c>
      <c r="F28" s="6" t="s">
        <v>147</v>
      </c>
      <c r="G28" s="6" t="s">
        <v>163</v>
      </c>
      <c r="H28" s="20"/>
      <c r="J28" s="21">
        <v>111683</v>
      </c>
      <c r="K28" s="23" t="s">
        <v>252</v>
      </c>
      <c r="L28" s="23" t="s">
        <v>772</v>
      </c>
      <c r="M28" s="23" t="s">
        <v>253</v>
      </c>
      <c r="N28" s="23" t="s">
        <v>38</v>
      </c>
      <c r="Q28" s="23" t="s">
        <v>755</v>
      </c>
      <c r="R28" s="28" t="s">
        <v>748</v>
      </c>
      <c r="S28" s="19">
        <v>45464</v>
      </c>
      <c r="T28" s="19">
        <v>41828</v>
      </c>
      <c r="U28" s="19">
        <v>45492</v>
      </c>
      <c r="V28" s="33">
        <f t="shared" si="7"/>
        <v>45492</v>
      </c>
      <c r="W28" s="19">
        <v>45488</v>
      </c>
      <c r="X28" s="19">
        <v>45499</v>
      </c>
      <c r="Z28" s="6" t="s">
        <v>67</v>
      </c>
      <c r="AA28" s="19">
        <v>45538</v>
      </c>
      <c r="AB28" s="27">
        <v>45502</v>
      </c>
      <c r="AC28" s="27">
        <v>45503</v>
      </c>
      <c r="AD28" s="27"/>
      <c r="AE28" s="19">
        <v>45510</v>
      </c>
      <c r="AF28" s="23" t="s">
        <v>149</v>
      </c>
      <c r="AG28" s="23" t="s">
        <v>165</v>
      </c>
      <c r="AH28" s="30" t="s">
        <v>78</v>
      </c>
      <c r="AI28" s="23" t="s">
        <v>69</v>
      </c>
      <c r="AJ28" s="47" t="s">
        <v>1060</v>
      </c>
      <c r="AK28" s="22">
        <v>480</v>
      </c>
      <c r="AL28" s="6">
        <v>15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</row>
    <row r="29" spans="1:137" ht="36" customHeight="1" x14ac:dyDescent="0.25">
      <c r="A29" s="55">
        <v>45432</v>
      </c>
      <c r="B29" s="50" t="s">
        <v>554</v>
      </c>
      <c r="D29" s="6" t="s">
        <v>36</v>
      </c>
      <c r="E29" s="6" t="s">
        <v>140</v>
      </c>
      <c r="G29" s="6" t="s">
        <v>163</v>
      </c>
      <c r="H29" s="20"/>
      <c r="J29" s="21">
        <v>110320</v>
      </c>
      <c r="K29" s="23" t="s">
        <v>553</v>
      </c>
      <c r="L29" s="23" t="s">
        <v>900</v>
      </c>
      <c r="M29" s="23">
        <v>4200003279</v>
      </c>
      <c r="N29" s="23" t="s">
        <v>38</v>
      </c>
      <c r="Q29" s="23" t="s">
        <v>594</v>
      </c>
      <c r="R29" s="19">
        <v>45435</v>
      </c>
      <c r="S29" s="19">
        <v>45440</v>
      </c>
      <c r="T29" s="19">
        <v>45454</v>
      </c>
      <c r="U29" s="19">
        <v>45474</v>
      </c>
      <c r="V29" s="19">
        <f t="shared" si="7"/>
        <v>45474</v>
      </c>
      <c r="W29" s="19">
        <v>45474</v>
      </c>
      <c r="X29" s="33">
        <v>45497</v>
      </c>
      <c r="Z29" s="6" t="s">
        <v>84</v>
      </c>
      <c r="AA29" s="19">
        <v>45495</v>
      </c>
      <c r="AB29" s="19">
        <v>45498</v>
      </c>
      <c r="AC29" s="27">
        <v>45555</v>
      </c>
      <c r="AD29" s="27">
        <v>45504</v>
      </c>
      <c r="AE29" s="19">
        <v>45509</v>
      </c>
      <c r="AF29" s="23" t="s">
        <v>149</v>
      </c>
      <c r="AG29" s="23" t="s">
        <v>165</v>
      </c>
      <c r="AH29" s="30" t="s">
        <v>78</v>
      </c>
      <c r="AI29" s="23" t="s">
        <v>64</v>
      </c>
      <c r="AJ29" s="23" t="s">
        <v>93</v>
      </c>
      <c r="AK29" s="22">
        <v>855</v>
      </c>
      <c r="AL29" s="6">
        <v>10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</row>
    <row r="30" spans="1:137" ht="36" customHeight="1" x14ac:dyDescent="0.25">
      <c r="A30" s="55">
        <v>45432</v>
      </c>
      <c r="B30" s="50" t="s">
        <v>566</v>
      </c>
      <c r="C30" s="6" t="s">
        <v>36</v>
      </c>
      <c r="D30" s="6" t="s">
        <v>36</v>
      </c>
      <c r="E30" s="6" t="s">
        <v>146</v>
      </c>
      <c r="G30" s="6" t="s">
        <v>163</v>
      </c>
      <c r="H30" s="20"/>
      <c r="J30" s="21">
        <v>107543</v>
      </c>
      <c r="K30" s="23" t="s">
        <v>278</v>
      </c>
      <c r="L30" s="23" t="s">
        <v>567</v>
      </c>
      <c r="M30" s="23" t="s">
        <v>67</v>
      </c>
      <c r="N30" s="23" t="s">
        <v>164</v>
      </c>
      <c r="Q30" s="6" t="s">
        <v>474</v>
      </c>
      <c r="R30" s="19">
        <v>45483</v>
      </c>
      <c r="S30" s="19">
        <v>45484</v>
      </c>
      <c r="T30" s="19">
        <v>45485</v>
      </c>
      <c r="U30" s="19">
        <v>45488</v>
      </c>
      <c r="V30" s="19">
        <f t="shared" si="7"/>
        <v>45488</v>
      </c>
      <c r="W30" s="19">
        <v>45490</v>
      </c>
      <c r="X30" s="19">
        <v>45492</v>
      </c>
      <c r="Z30" s="6" t="s">
        <v>72</v>
      </c>
      <c r="AA30" s="6" t="s">
        <v>474</v>
      </c>
      <c r="AB30" s="19">
        <v>45495</v>
      </c>
      <c r="AC30" s="27">
        <v>45588</v>
      </c>
      <c r="AD30" s="27">
        <v>45505</v>
      </c>
      <c r="AE30" s="19">
        <v>45510</v>
      </c>
      <c r="AF30" s="23" t="s">
        <v>149</v>
      </c>
      <c r="AG30" s="23" t="s">
        <v>165</v>
      </c>
      <c r="AH30" s="30" t="s">
        <v>78</v>
      </c>
      <c r="AI30" s="23" t="s">
        <v>69</v>
      </c>
      <c r="AJ30" s="37" t="s">
        <v>1080</v>
      </c>
      <c r="AK30" s="22">
        <v>80</v>
      </c>
      <c r="AL30" s="6">
        <v>10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</row>
    <row r="31" spans="1:137" ht="36" customHeight="1" x14ac:dyDescent="0.25">
      <c r="A31" s="55">
        <v>45421</v>
      </c>
      <c r="B31" s="50" t="s">
        <v>818</v>
      </c>
      <c r="D31" s="6" t="s">
        <v>36</v>
      </c>
      <c r="E31" s="6" t="s">
        <v>146</v>
      </c>
      <c r="F31" s="6" t="s">
        <v>147</v>
      </c>
      <c r="G31" s="6" t="s">
        <v>163</v>
      </c>
      <c r="H31" s="20"/>
      <c r="J31" s="21">
        <v>111720</v>
      </c>
      <c r="K31" s="23" t="s">
        <v>252</v>
      </c>
      <c r="L31" s="23" t="s">
        <v>843</v>
      </c>
      <c r="M31" s="23" t="s">
        <v>258</v>
      </c>
      <c r="N31" s="23" t="s">
        <v>38</v>
      </c>
      <c r="Q31" s="23" t="s">
        <v>711</v>
      </c>
      <c r="R31" s="19" t="s">
        <v>624</v>
      </c>
      <c r="S31" s="19">
        <v>45470</v>
      </c>
      <c r="T31" s="19">
        <v>45471</v>
      </c>
      <c r="U31" s="19">
        <v>45470</v>
      </c>
      <c r="V31" s="19">
        <f t="shared" si="7"/>
        <v>45470</v>
      </c>
      <c r="W31" s="19">
        <v>45474</v>
      </c>
      <c r="X31" s="19">
        <v>45475</v>
      </c>
      <c r="Z31" s="6" t="s">
        <v>67</v>
      </c>
      <c r="AA31" s="19">
        <v>45545</v>
      </c>
      <c r="AB31" s="27">
        <v>45504</v>
      </c>
      <c r="AC31" s="27">
        <v>45505</v>
      </c>
      <c r="AD31" s="27"/>
      <c r="AE31" s="19">
        <v>45510</v>
      </c>
      <c r="AF31" s="23" t="s">
        <v>149</v>
      </c>
      <c r="AG31" s="23" t="s">
        <v>165</v>
      </c>
      <c r="AH31" s="30" t="s">
        <v>78</v>
      </c>
      <c r="AI31" s="23" t="s">
        <v>81</v>
      </c>
      <c r="AJ31" s="46" t="s">
        <v>800</v>
      </c>
      <c r="AK31" s="22">
        <v>50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</row>
    <row r="32" spans="1:137" ht="36" customHeight="1" x14ac:dyDescent="0.25">
      <c r="A32" s="55">
        <v>45470</v>
      </c>
      <c r="B32" s="50" t="s">
        <v>841</v>
      </c>
      <c r="C32" s="6" t="s">
        <v>36</v>
      </c>
      <c r="D32" s="6" t="s">
        <v>35</v>
      </c>
      <c r="E32" s="6" t="s">
        <v>153</v>
      </c>
      <c r="G32" s="6" t="s">
        <v>163</v>
      </c>
      <c r="H32" s="20"/>
      <c r="J32" s="21">
        <v>113540</v>
      </c>
      <c r="K32" s="23" t="s">
        <v>840</v>
      </c>
      <c r="L32" s="23" t="s">
        <v>943</v>
      </c>
      <c r="M32" s="23" t="s">
        <v>842</v>
      </c>
      <c r="N32" s="23" t="s">
        <v>154</v>
      </c>
      <c r="Q32" s="37" t="s">
        <v>936</v>
      </c>
      <c r="R32" s="19">
        <v>45490</v>
      </c>
      <c r="S32" s="19">
        <v>45491</v>
      </c>
      <c r="T32" s="19">
        <v>45491</v>
      </c>
      <c r="U32" s="19">
        <v>45495</v>
      </c>
      <c r="V32" s="19">
        <f t="shared" si="7"/>
        <v>45495</v>
      </c>
      <c r="W32" s="19">
        <v>45496</v>
      </c>
      <c r="X32" s="19">
        <v>45498</v>
      </c>
      <c r="Z32" s="6" t="s">
        <v>72</v>
      </c>
      <c r="AA32" s="6" t="s">
        <v>474</v>
      </c>
      <c r="AB32" s="19">
        <v>45499</v>
      </c>
      <c r="AC32" s="27">
        <v>45505</v>
      </c>
      <c r="AD32" s="27"/>
      <c r="AE32" s="19">
        <v>45509</v>
      </c>
      <c r="AF32" s="23" t="s">
        <v>149</v>
      </c>
      <c r="AG32" s="23" t="s">
        <v>165</v>
      </c>
      <c r="AH32" s="23" t="s">
        <v>82</v>
      </c>
      <c r="AI32" s="23" t="s">
        <v>59</v>
      </c>
      <c r="AJ32" s="23" t="s">
        <v>1062</v>
      </c>
      <c r="AK32" s="22">
        <v>24</v>
      </c>
      <c r="AL32" s="6">
        <v>24</v>
      </c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</row>
    <row r="33" spans="1:137" ht="36" customHeight="1" x14ac:dyDescent="0.25">
      <c r="A33" s="55">
        <v>45489</v>
      </c>
      <c r="B33" s="66" t="s">
        <v>1090</v>
      </c>
      <c r="C33" s="57"/>
      <c r="D33" s="29"/>
      <c r="E33" s="6" t="s">
        <v>153</v>
      </c>
      <c r="G33" s="6" t="s">
        <v>163</v>
      </c>
      <c r="H33" s="20"/>
      <c r="J33" s="21">
        <v>114032</v>
      </c>
      <c r="K33" s="23" t="s">
        <v>302</v>
      </c>
      <c r="L33" s="23" t="s">
        <v>965</v>
      </c>
      <c r="M33" s="23">
        <v>4508837718</v>
      </c>
      <c r="N33" s="23" t="s">
        <v>38</v>
      </c>
      <c r="Q33" s="67"/>
      <c r="R33" s="19">
        <v>45495</v>
      </c>
      <c r="AC33" s="27">
        <v>45509</v>
      </c>
      <c r="AD33" s="27"/>
      <c r="AE33" s="19">
        <v>45512</v>
      </c>
      <c r="AF33" s="23" t="s">
        <v>156</v>
      </c>
      <c r="AG33" s="23" t="s">
        <v>178</v>
      </c>
      <c r="AH33" s="23" t="s">
        <v>82</v>
      </c>
      <c r="AI33" s="23" t="s">
        <v>77</v>
      </c>
      <c r="AJ33" s="23" t="s">
        <v>1076</v>
      </c>
      <c r="AK33" s="22">
        <v>40</v>
      </c>
      <c r="AL33" s="6">
        <v>5</v>
      </c>
      <c r="AM33" s="6">
        <v>20</v>
      </c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</row>
    <row r="34" spans="1:137" ht="36" customHeight="1" x14ac:dyDescent="0.25">
      <c r="A34" s="55">
        <v>45429</v>
      </c>
      <c r="B34" s="50" t="s">
        <v>479</v>
      </c>
      <c r="C34" s="57"/>
      <c r="D34" s="6" t="s">
        <v>36</v>
      </c>
      <c r="E34" s="6" t="s">
        <v>146</v>
      </c>
      <c r="F34" s="6" t="s">
        <v>141</v>
      </c>
      <c r="G34" s="6" t="s">
        <v>142</v>
      </c>
      <c r="H34" s="20"/>
      <c r="J34" s="21">
        <v>104451</v>
      </c>
      <c r="K34" s="23" t="s">
        <v>124</v>
      </c>
      <c r="L34" s="23" t="s">
        <v>1077</v>
      </c>
      <c r="M34" s="23">
        <v>60570</v>
      </c>
      <c r="N34" s="23" t="s">
        <v>143</v>
      </c>
      <c r="Q34" s="23" t="s">
        <v>591</v>
      </c>
      <c r="R34" s="19">
        <v>45226</v>
      </c>
      <c r="S34" s="19">
        <v>45267</v>
      </c>
      <c r="T34" s="19">
        <v>45298</v>
      </c>
      <c r="Z34" s="6" t="s">
        <v>72</v>
      </c>
      <c r="AA34" s="6" t="s">
        <v>474</v>
      </c>
      <c r="AB34" s="19">
        <v>45511</v>
      </c>
      <c r="AC34" s="27">
        <v>45303</v>
      </c>
      <c r="AD34" s="27">
        <v>45512</v>
      </c>
      <c r="AE34" s="19">
        <v>45513</v>
      </c>
      <c r="AF34" s="23" t="s">
        <v>149</v>
      </c>
      <c r="AG34" s="23" t="s">
        <v>165</v>
      </c>
      <c r="AH34" s="30" t="s">
        <v>78</v>
      </c>
      <c r="AI34" s="23" t="s">
        <v>69</v>
      </c>
      <c r="AJ34" s="23" t="s">
        <v>834</v>
      </c>
      <c r="AK34" s="22">
        <v>500</v>
      </c>
      <c r="AL34" s="38"/>
      <c r="BI34" s="6"/>
      <c r="BJ34" s="6"/>
      <c r="BK34" s="6"/>
      <c r="BL34" s="6"/>
      <c r="BM34" s="6"/>
      <c r="BN34" s="6"/>
      <c r="BO34" s="6"/>
      <c r="BP34" s="6"/>
      <c r="BQ34" s="6"/>
      <c r="DX34" s="6"/>
      <c r="DY34" s="6"/>
      <c r="DZ34" s="6"/>
      <c r="EA34" s="6"/>
      <c r="EB34" s="6"/>
      <c r="EC34" s="6"/>
      <c r="ED34" s="6"/>
      <c r="EE34" s="6"/>
      <c r="EF34" s="6"/>
      <c r="EG34" s="6"/>
    </row>
    <row r="35" spans="1:137" ht="36" customHeight="1" x14ac:dyDescent="0.25">
      <c r="A35" s="55">
        <v>45483</v>
      </c>
      <c r="B35" s="50" t="s">
        <v>921</v>
      </c>
      <c r="C35" s="57"/>
      <c r="D35" s="29"/>
      <c r="E35" s="6" t="s">
        <v>161</v>
      </c>
      <c r="G35" s="38" t="s">
        <v>163</v>
      </c>
      <c r="H35" s="20"/>
      <c r="J35" s="21">
        <v>113880</v>
      </c>
      <c r="K35" s="23" t="s">
        <v>920</v>
      </c>
      <c r="L35" s="23" t="s">
        <v>922</v>
      </c>
      <c r="M35" s="23">
        <v>4516071527</v>
      </c>
      <c r="N35" s="23" t="s">
        <v>38</v>
      </c>
      <c r="Q35" s="52" t="s">
        <v>1067</v>
      </c>
      <c r="AC35" s="27">
        <v>45512</v>
      </c>
      <c r="AD35" s="27"/>
      <c r="AE35" s="19">
        <v>45517</v>
      </c>
      <c r="AF35" s="23" t="s">
        <v>156</v>
      </c>
      <c r="AG35" s="23" t="s">
        <v>178</v>
      </c>
      <c r="AH35" s="23" t="s">
        <v>82</v>
      </c>
      <c r="AI35" s="23" t="s">
        <v>77</v>
      </c>
      <c r="AJ35" s="23" t="s">
        <v>1085</v>
      </c>
      <c r="AK35" s="22">
        <v>116</v>
      </c>
      <c r="AL35" s="38"/>
      <c r="AM35" s="38">
        <v>58</v>
      </c>
      <c r="AN35" s="38">
        <v>58</v>
      </c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</row>
    <row r="36" spans="1:137" ht="36" customHeight="1" x14ac:dyDescent="0.25">
      <c r="A36" s="55">
        <v>45432</v>
      </c>
      <c r="B36" s="50" t="s">
        <v>513</v>
      </c>
      <c r="C36" s="57"/>
      <c r="D36" s="6" t="s">
        <v>36</v>
      </c>
      <c r="E36" s="6" t="s">
        <v>140</v>
      </c>
      <c r="G36" s="6" t="s">
        <v>166</v>
      </c>
      <c r="H36" s="20"/>
      <c r="J36" s="21">
        <v>107045</v>
      </c>
      <c r="K36" s="23" t="s">
        <v>120</v>
      </c>
      <c r="L36" s="23" t="s">
        <v>1078</v>
      </c>
      <c r="M36" s="23" t="s">
        <v>67</v>
      </c>
      <c r="N36" s="23" t="s">
        <v>38</v>
      </c>
      <c r="Q36" s="23" t="s">
        <v>519</v>
      </c>
      <c r="R36" s="19">
        <v>45334</v>
      </c>
      <c r="S36" s="19">
        <v>45390</v>
      </c>
      <c r="T36" s="19">
        <v>45453</v>
      </c>
      <c r="U36" s="19">
        <v>45463</v>
      </c>
      <c r="V36" s="19">
        <f>+U36</f>
        <v>45463</v>
      </c>
      <c r="W36" s="19">
        <v>45485</v>
      </c>
      <c r="X36" s="19">
        <v>45499</v>
      </c>
      <c r="Z36" s="6" t="s">
        <v>57</v>
      </c>
      <c r="AA36" s="19">
        <v>45448</v>
      </c>
      <c r="AB36" s="27">
        <v>45503</v>
      </c>
      <c r="AC36" s="27">
        <v>45353</v>
      </c>
      <c r="AD36" s="27">
        <v>45513</v>
      </c>
      <c r="AE36" s="19">
        <v>45518</v>
      </c>
      <c r="AF36" s="23" t="s">
        <v>149</v>
      </c>
      <c r="AG36" s="23" t="s">
        <v>165</v>
      </c>
      <c r="AH36" s="30" t="s">
        <v>78</v>
      </c>
      <c r="AI36" s="23" t="s">
        <v>64</v>
      </c>
      <c r="AJ36" s="37" t="s">
        <v>1058</v>
      </c>
      <c r="AK36" s="22">
        <v>3500</v>
      </c>
      <c r="AL36" s="6">
        <v>25</v>
      </c>
      <c r="AM36" s="6">
        <v>25</v>
      </c>
      <c r="AN36" s="6">
        <v>25</v>
      </c>
      <c r="BI36" s="6"/>
      <c r="BJ36" s="6"/>
      <c r="BK36" s="6"/>
      <c r="BL36" s="6"/>
      <c r="BM36" s="6"/>
      <c r="BN36" s="6"/>
      <c r="BO36" s="6"/>
      <c r="BP36" s="6"/>
      <c r="BQ36" s="6"/>
      <c r="DX36" s="6"/>
      <c r="DY36" s="6"/>
      <c r="DZ36" s="6"/>
      <c r="EA36" s="6"/>
      <c r="EB36" s="6"/>
      <c r="EC36" s="6"/>
      <c r="ED36" s="6"/>
      <c r="EE36" s="6"/>
      <c r="EF36" s="6"/>
      <c r="EG36" s="6"/>
    </row>
    <row r="37" spans="1:137" ht="36" customHeight="1" x14ac:dyDescent="0.25">
      <c r="A37" s="55">
        <v>45457</v>
      </c>
      <c r="B37" s="50" t="s">
        <v>759</v>
      </c>
      <c r="C37" s="57" t="s">
        <v>36</v>
      </c>
      <c r="D37" s="6" t="s">
        <v>36</v>
      </c>
      <c r="E37" s="6" t="s">
        <v>140</v>
      </c>
      <c r="G37" s="6" t="s">
        <v>163</v>
      </c>
      <c r="H37" s="20"/>
      <c r="J37" s="21">
        <v>113083</v>
      </c>
      <c r="K37" s="23" t="s">
        <v>112</v>
      </c>
      <c r="L37" s="23" t="s">
        <v>935</v>
      </c>
      <c r="M37" s="23">
        <v>150247</v>
      </c>
      <c r="N37" s="23" t="s">
        <v>38</v>
      </c>
      <c r="Q37" s="52" t="s">
        <v>901</v>
      </c>
      <c r="R37" s="6" t="s">
        <v>923</v>
      </c>
      <c r="S37" s="19">
        <v>45490</v>
      </c>
      <c r="AB37" s="19">
        <v>45499</v>
      </c>
      <c r="AC37" s="27">
        <v>45502</v>
      </c>
      <c r="AD37" s="27">
        <v>45513</v>
      </c>
      <c r="AE37" s="19">
        <v>45516</v>
      </c>
      <c r="AF37" s="23" t="s">
        <v>149</v>
      </c>
      <c r="AG37" s="23" t="s">
        <v>165</v>
      </c>
      <c r="AH37" s="23" t="s">
        <v>82</v>
      </c>
      <c r="AI37" s="23" t="s">
        <v>59</v>
      </c>
      <c r="AJ37" s="23" t="s">
        <v>1075</v>
      </c>
      <c r="AK37" s="22">
        <v>114</v>
      </c>
      <c r="AL37" s="6">
        <v>50</v>
      </c>
      <c r="AM37" s="6">
        <v>14</v>
      </c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</row>
    <row r="38" spans="1:137" ht="36" customHeight="1" x14ac:dyDescent="0.25">
      <c r="A38" s="55">
        <v>45429</v>
      </c>
      <c r="B38" s="50" t="s">
        <v>596</v>
      </c>
      <c r="C38" s="57"/>
      <c r="D38" s="6" t="s">
        <v>36</v>
      </c>
      <c r="E38" s="6" t="s">
        <v>153</v>
      </c>
      <c r="G38" s="6" t="s">
        <v>142</v>
      </c>
      <c r="H38" s="20"/>
      <c r="J38" s="21">
        <v>1234</v>
      </c>
      <c r="K38" s="23" t="s">
        <v>62</v>
      </c>
      <c r="L38" s="23" t="s">
        <v>473</v>
      </c>
      <c r="M38" s="23" t="s">
        <v>474</v>
      </c>
      <c r="N38" s="23" t="s">
        <v>154</v>
      </c>
      <c r="Q38" s="6" t="s">
        <v>474</v>
      </c>
      <c r="R38" s="6" t="s">
        <v>474</v>
      </c>
      <c r="S38" s="19">
        <v>45130</v>
      </c>
      <c r="T38" s="19">
        <v>45168</v>
      </c>
      <c r="U38" s="19">
        <v>45467</v>
      </c>
      <c r="V38" s="19">
        <f>+U38</f>
        <v>45467</v>
      </c>
      <c r="W38" s="19">
        <v>45467</v>
      </c>
      <c r="X38" s="19">
        <v>45474</v>
      </c>
      <c r="Z38" s="6" t="s">
        <v>72</v>
      </c>
      <c r="AA38" s="6" t="s">
        <v>474</v>
      </c>
      <c r="AB38" s="19">
        <v>45471</v>
      </c>
      <c r="AC38" s="27">
        <v>45513</v>
      </c>
      <c r="AD38" s="27"/>
      <c r="AE38" s="19">
        <v>45513</v>
      </c>
      <c r="AF38" s="23" t="s">
        <v>149</v>
      </c>
      <c r="AG38" s="23" t="s">
        <v>165</v>
      </c>
      <c r="AH38" s="30" t="s">
        <v>78</v>
      </c>
      <c r="AI38" s="23" t="s">
        <v>59</v>
      </c>
      <c r="AJ38" s="23" t="s">
        <v>1063</v>
      </c>
      <c r="AK38" s="22">
        <v>150</v>
      </c>
      <c r="AL38" s="6">
        <v>20</v>
      </c>
      <c r="AM38" s="6">
        <v>20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</row>
    <row r="39" spans="1:137" ht="36" customHeight="1" x14ac:dyDescent="0.25">
      <c r="A39" s="55">
        <v>45481</v>
      </c>
      <c r="B39" s="50" t="s">
        <v>906</v>
      </c>
      <c r="C39" s="57"/>
      <c r="D39" s="29"/>
      <c r="E39" s="6" t="s">
        <v>140</v>
      </c>
      <c r="G39" s="6" t="s">
        <v>163</v>
      </c>
      <c r="H39" s="20"/>
      <c r="J39" s="21">
        <v>113776</v>
      </c>
      <c r="K39" s="23" t="s">
        <v>907</v>
      </c>
      <c r="L39" s="23" t="s">
        <v>908</v>
      </c>
      <c r="M39" s="23">
        <v>4000002425</v>
      </c>
      <c r="N39" s="23" t="s">
        <v>38</v>
      </c>
      <c r="R39" s="19">
        <v>45490</v>
      </c>
      <c r="AC39" s="27">
        <v>45517</v>
      </c>
      <c r="AD39" s="27"/>
      <c r="AE39" s="19">
        <v>45520</v>
      </c>
      <c r="AF39" s="23" t="s">
        <v>156</v>
      </c>
      <c r="AG39" s="23" t="s">
        <v>178</v>
      </c>
      <c r="AH39" s="23" t="s">
        <v>82</v>
      </c>
      <c r="AI39" s="23" t="s">
        <v>77</v>
      </c>
      <c r="AJ39" s="23" t="s">
        <v>1083</v>
      </c>
      <c r="AK39" s="22">
        <v>33</v>
      </c>
      <c r="AM39" s="6">
        <v>3</v>
      </c>
      <c r="AN39" s="6">
        <v>20</v>
      </c>
      <c r="AO39" s="6">
        <v>10</v>
      </c>
      <c r="DX39" s="6"/>
      <c r="DY39" s="6"/>
      <c r="DZ39" s="6"/>
      <c r="EA39" s="6"/>
      <c r="EB39" s="6"/>
      <c r="EC39" s="6"/>
      <c r="ED39" s="6"/>
      <c r="EE39" s="6"/>
      <c r="EF39" s="6"/>
      <c r="EG39" s="6"/>
    </row>
    <row r="40" spans="1:137" ht="36" customHeight="1" x14ac:dyDescent="0.25">
      <c r="A40" s="55">
        <v>45481</v>
      </c>
      <c r="B40" s="50" t="s">
        <v>909</v>
      </c>
      <c r="C40" s="57"/>
      <c r="D40" s="29"/>
      <c r="E40" s="6" t="s">
        <v>140</v>
      </c>
      <c r="G40" s="6" t="s">
        <v>163</v>
      </c>
      <c r="H40" s="20"/>
      <c r="J40" s="21">
        <v>113776</v>
      </c>
      <c r="K40" s="23" t="s">
        <v>907</v>
      </c>
      <c r="L40" s="23" t="s">
        <v>910</v>
      </c>
      <c r="M40" s="23">
        <v>4000002425</v>
      </c>
      <c r="N40" s="23" t="s">
        <v>38</v>
      </c>
      <c r="R40" s="19">
        <v>45490</v>
      </c>
      <c r="AC40" s="27">
        <v>45517</v>
      </c>
      <c r="AD40" s="27"/>
      <c r="AE40" s="19">
        <v>45520</v>
      </c>
      <c r="AF40" s="23" t="s">
        <v>156</v>
      </c>
      <c r="AG40" s="23" t="s">
        <v>178</v>
      </c>
      <c r="AH40" s="23" t="s">
        <v>82</v>
      </c>
      <c r="AI40" s="23" t="s">
        <v>77</v>
      </c>
      <c r="AK40" s="22">
        <v>19</v>
      </c>
      <c r="AN40" s="6">
        <v>16</v>
      </c>
      <c r="AO40" s="6">
        <v>3</v>
      </c>
      <c r="DX40" s="6"/>
      <c r="DY40" s="6"/>
      <c r="DZ40" s="6"/>
      <c r="EA40" s="6"/>
      <c r="EB40" s="6"/>
      <c r="EC40" s="6"/>
      <c r="ED40" s="6"/>
      <c r="EE40" s="6"/>
      <c r="EF40" s="6"/>
      <c r="EG40" s="6"/>
    </row>
    <row r="41" spans="1:137" ht="36" customHeight="1" x14ac:dyDescent="0.25">
      <c r="A41" s="55">
        <v>45491</v>
      </c>
      <c r="B41" s="50" t="s">
        <v>1088</v>
      </c>
      <c r="C41" s="57"/>
      <c r="E41" s="6" t="s">
        <v>161</v>
      </c>
      <c r="H41" s="20"/>
      <c r="J41" s="21">
        <v>114187</v>
      </c>
      <c r="K41" s="23" t="s">
        <v>1087</v>
      </c>
      <c r="L41" s="23" t="s">
        <v>1089</v>
      </c>
      <c r="M41" s="23">
        <v>4501174710</v>
      </c>
      <c r="N41" s="23" t="s">
        <v>38</v>
      </c>
      <c r="AC41" s="27">
        <v>45517</v>
      </c>
      <c r="AD41" s="27"/>
      <c r="AE41" s="19">
        <v>45520</v>
      </c>
      <c r="AF41" s="32" t="s">
        <v>152</v>
      </c>
      <c r="AI41" s="23" t="s">
        <v>77</v>
      </c>
      <c r="AK41" s="22">
        <v>64</v>
      </c>
      <c r="AN41" s="6">
        <v>22</v>
      </c>
      <c r="AO41" s="6">
        <v>42</v>
      </c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</row>
    <row r="42" spans="1:137" ht="36" customHeight="1" x14ac:dyDescent="0.25">
      <c r="A42" s="55">
        <v>45448</v>
      </c>
      <c r="B42" s="50" t="s">
        <v>651</v>
      </c>
      <c r="C42" s="57"/>
      <c r="D42" s="6" t="s">
        <v>36</v>
      </c>
      <c r="E42" s="6" t="s">
        <v>146</v>
      </c>
      <c r="G42" s="6" t="s">
        <v>163</v>
      </c>
      <c r="H42" s="20"/>
      <c r="J42" s="21">
        <v>112669</v>
      </c>
      <c r="K42" s="23" t="s">
        <v>278</v>
      </c>
      <c r="L42" s="23" t="s">
        <v>649</v>
      </c>
      <c r="M42" s="23" t="s">
        <v>650</v>
      </c>
      <c r="N42" s="23" t="s">
        <v>154</v>
      </c>
      <c r="P42" s="19">
        <v>45485</v>
      </c>
      <c r="Q42" s="6" t="s">
        <v>474</v>
      </c>
      <c r="R42" s="19">
        <v>45469</v>
      </c>
      <c r="S42" s="28" t="s">
        <v>474</v>
      </c>
      <c r="Z42" s="6" t="s">
        <v>72</v>
      </c>
      <c r="AA42" s="6" t="s">
        <v>474</v>
      </c>
      <c r="AB42" s="19">
        <v>45517</v>
      </c>
      <c r="AC42" s="27">
        <v>45518</v>
      </c>
      <c r="AD42" s="27"/>
      <c r="AE42" s="19">
        <v>45523</v>
      </c>
      <c r="AF42" s="23" t="s">
        <v>160</v>
      </c>
      <c r="AG42" s="31" t="s">
        <v>169</v>
      </c>
      <c r="AH42" s="30" t="s">
        <v>78</v>
      </c>
      <c r="AJ42" s="23" t="s">
        <v>1061</v>
      </c>
      <c r="AK42" s="22">
        <v>192</v>
      </c>
      <c r="AL42" s="6">
        <v>40</v>
      </c>
      <c r="AM42" s="6">
        <v>70</v>
      </c>
      <c r="AN42" s="6">
        <v>70</v>
      </c>
      <c r="AO42" s="6">
        <v>12</v>
      </c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</row>
    <row r="43" spans="1:137" ht="36" customHeight="1" x14ac:dyDescent="0.25">
      <c r="A43" s="55">
        <v>45491</v>
      </c>
      <c r="B43" s="50" t="s">
        <v>1073</v>
      </c>
      <c r="C43" s="57"/>
      <c r="E43" s="6" t="s">
        <v>161</v>
      </c>
      <c r="H43" s="20"/>
      <c r="J43" s="21">
        <v>114175</v>
      </c>
      <c r="K43" s="23" t="s">
        <v>524</v>
      </c>
      <c r="L43" s="23" t="s">
        <v>1074</v>
      </c>
      <c r="M43" s="23">
        <v>4508820943</v>
      </c>
      <c r="N43" s="23" t="s">
        <v>38</v>
      </c>
      <c r="AC43" s="27">
        <v>45518</v>
      </c>
      <c r="AD43" s="27"/>
      <c r="AE43" s="19">
        <v>45520</v>
      </c>
      <c r="AF43" s="32" t="s">
        <v>152</v>
      </c>
      <c r="AI43" s="23" t="s">
        <v>77</v>
      </c>
      <c r="AK43" s="22">
        <v>80</v>
      </c>
      <c r="AM43" s="6">
        <v>30</v>
      </c>
      <c r="AN43" s="6">
        <v>30</v>
      </c>
      <c r="AO43" s="6">
        <v>20</v>
      </c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</row>
    <row r="44" spans="1:137" ht="36" customHeight="1" x14ac:dyDescent="0.25">
      <c r="A44" s="55">
        <v>45475</v>
      </c>
      <c r="B44" s="50" t="s">
        <v>878</v>
      </c>
      <c r="C44" s="57" t="s">
        <v>35</v>
      </c>
      <c r="D44" s="6" t="s">
        <v>36</v>
      </c>
      <c r="E44" s="6" t="s">
        <v>140</v>
      </c>
      <c r="G44" s="6" t="s">
        <v>163</v>
      </c>
      <c r="H44" s="20"/>
      <c r="J44" s="21">
        <v>113650</v>
      </c>
      <c r="K44" s="23" t="s">
        <v>877</v>
      </c>
      <c r="L44" s="23" t="s">
        <v>908</v>
      </c>
      <c r="M44" s="23">
        <v>2401485</v>
      </c>
      <c r="N44" s="23" t="s">
        <v>38</v>
      </c>
      <c r="Q44" s="52" t="s">
        <v>903</v>
      </c>
      <c r="R44" s="19">
        <v>45483</v>
      </c>
      <c r="S44" s="33">
        <v>45498</v>
      </c>
      <c r="T44" s="33">
        <v>45502</v>
      </c>
      <c r="U44" s="33">
        <v>45504</v>
      </c>
      <c r="V44" s="33">
        <f>+U44</f>
        <v>45504</v>
      </c>
      <c r="W44" s="33">
        <v>45506</v>
      </c>
      <c r="X44" s="33">
        <v>45510</v>
      </c>
      <c r="Z44" s="6" t="s">
        <v>72</v>
      </c>
      <c r="AA44" s="6" t="s">
        <v>474</v>
      </c>
      <c r="AB44" s="19">
        <v>45502</v>
      </c>
      <c r="AC44" s="27">
        <v>45519</v>
      </c>
      <c r="AD44" s="27"/>
      <c r="AE44" s="19">
        <v>45524</v>
      </c>
      <c r="AF44" s="23" t="s">
        <v>149</v>
      </c>
      <c r="AG44" s="23" t="s">
        <v>165</v>
      </c>
      <c r="AH44" s="23" t="s">
        <v>82</v>
      </c>
      <c r="AI44" s="23" t="s">
        <v>59</v>
      </c>
      <c r="AJ44" s="23" t="s">
        <v>1056</v>
      </c>
      <c r="AK44" s="22">
        <v>116</v>
      </c>
      <c r="AL44" s="6">
        <v>40</v>
      </c>
      <c r="AM44" s="6">
        <v>5</v>
      </c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</row>
    <row r="45" spans="1:137" ht="36" customHeight="1" x14ac:dyDescent="0.25">
      <c r="A45" s="55">
        <v>45456</v>
      </c>
      <c r="B45" s="50" t="s">
        <v>725</v>
      </c>
      <c r="C45" s="57"/>
      <c r="D45" s="6" t="s">
        <v>36</v>
      </c>
      <c r="E45" s="6" t="s">
        <v>146</v>
      </c>
      <c r="G45" s="6" t="s">
        <v>163</v>
      </c>
      <c r="H45" s="20"/>
      <c r="J45" s="21">
        <v>112976</v>
      </c>
      <c r="K45" s="23" t="s">
        <v>278</v>
      </c>
      <c r="L45" s="23" t="s">
        <v>729</v>
      </c>
      <c r="M45" s="23" t="s">
        <v>726</v>
      </c>
      <c r="N45" s="23" t="s">
        <v>154</v>
      </c>
      <c r="Q45" s="6" t="s">
        <v>474</v>
      </c>
      <c r="R45" s="19">
        <v>45490</v>
      </c>
      <c r="S45" s="19">
        <v>45495</v>
      </c>
      <c r="T45" s="19">
        <v>45498</v>
      </c>
      <c r="U45" s="19">
        <v>45504</v>
      </c>
      <c r="V45" s="19">
        <f>+U45</f>
        <v>45504</v>
      </c>
      <c r="W45" s="19">
        <v>45510</v>
      </c>
      <c r="X45" s="19">
        <v>45516</v>
      </c>
      <c r="Z45" s="6" t="s">
        <v>72</v>
      </c>
      <c r="AA45" s="6" t="s">
        <v>474</v>
      </c>
      <c r="AB45" s="27">
        <v>45517</v>
      </c>
      <c r="AC45" s="27">
        <v>45519</v>
      </c>
      <c r="AD45" s="27"/>
      <c r="AE45" s="19">
        <v>45523</v>
      </c>
      <c r="AF45" s="23" t="s">
        <v>149</v>
      </c>
      <c r="AG45" s="23" t="s">
        <v>165</v>
      </c>
      <c r="AH45" s="30" t="s">
        <v>78</v>
      </c>
      <c r="AK45" s="22">
        <v>192</v>
      </c>
      <c r="AL45" s="6">
        <v>63</v>
      </c>
      <c r="AM45" s="6">
        <v>63</v>
      </c>
      <c r="AN45" s="6">
        <v>63</v>
      </c>
      <c r="AO45" s="6">
        <v>3</v>
      </c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</row>
    <row r="46" spans="1:137" ht="36" customHeight="1" x14ac:dyDescent="0.25">
      <c r="A46" s="55">
        <v>45462</v>
      </c>
      <c r="B46" s="50" t="s">
        <v>778</v>
      </c>
      <c r="C46" s="57" t="s">
        <v>35</v>
      </c>
      <c r="D46" s="6" t="s">
        <v>36</v>
      </c>
      <c r="E46" s="6" t="s">
        <v>153</v>
      </c>
      <c r="G46" s="6" t="s">
        <v>157</v>
      </c>
      <c r="H46" s="20"/>
      <c r="J46" s="21">
        <v>113220</v>
      </c>
      <c r="K46" s="23" t="s">
        <v>777</v>
      </c>
      <c r="L46" s="23" t="s">
        <v>919</v>
      </c>
      <c r="M46" s="23">
        <v>4500649846</v>
      </c>
      <c r="N46" s="23" t="s">
        <v>38</v>
      </c>
      <c r="Q46" s="28" t="s">
        <v>905</v>
      </c>
      <c r="R46" s="19">
        <v>45476</v>
      </c>
      <c r="S46" s="19">
        <v>37447</v>
      </c>
      <c r="T46" s="19">
        <v>45485</v>
      </c>
      <c r="U46" s="19">
        <v>45489</v>
      </c>
      <c r="V46" s="19">
        <f>+U46</f>
        <v>45489</v>
      </c>
      <c r="W46" s="19">
        <v>45491</v>
      </c>
      <c r="X46" s="19">
        <v>45495</v>
      </c>
      <c r="Z46" s="6" t="s">
        <v>72</v>
      </c>
      <c r="AA46" s="6" t="s">
        <v>474</v>
      </c>
      <c r="AB46" s="19">
        <v>45523</v>
      </c>
      <c r="AC46" s="27">
        <v>45520</v>
      </c>
      <c r="AD46" s="27"/>
      <c r="AE46" s="19">
        <v>45524</v>
      </c>
      <c r="AF46" s="23" t="s">
        <v>149</v>
      </c>
      <c r="AG46" s="23" t="s">
        <v>165</v>
      </c>
      <c r="AH46" s="30" t="s">
        <v>78</v>
      </c>
      <c r="AI46" s="23" t="s">
        <v>69</v>
      </c>
      <c r="AJ46" s="37"/>
      <c r="AK46" s="22">
        <v>60</v>
      </c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</row>
    <row r="47" spans="1:137" ht="36" customHeight="1" x14ac:dyDescent="0.25">
      <c r="A47" s="55">
        <v>45482</v>
      </c>
      <c r="B47" s="50" t="s">
        <v>913</v>
      </c>
      <c r="C47" s="57"/>
      <c r="D47" s="29"/>
      <c r="E47" s="6" t="s">
        <v>140</v>
      </c>
      <c r="G47" s="6" t="s">
        <v>157</v>
      </c>
      <c r="H47" s="20"/>
      <c r="J47" s="21">
        <v>113791</v>
      </c>
      <c r="K47" s="23" t="s">
        <v>912</v>
      </c>
      <c r="L47" s="23" t="s">
        <v>950</v>
      </c>
      <c r="M47" s="23" t="s">
        <v>67</v>
      </c>
      <c r="N47" s="23" t="s">
        <v>38</v>
      </c>
      <c r="Q47" s="23" t="s">
        <v>938</v>
      </c>
      <c r="R47" s="19">
        <v>45497</v>
      </c>
      <c r="S47" s="19">
        <v>45489</v>
      </c>
      <c r="AC47" s="27">
        <v>45498</v>
      </c>
      <c r="AD47" s="36">
        <v>45523</v>
      </c>
      <c r="AE47" s="33">
        <v>45523</v>
      </c>
      <c r="AF47" s="23" t="s">
        <v>149</v>
      </c>
      <c r="AG47" s="23" t="s">
        <v>165</v>
      </c>
      <c r="AH47" s="23" t="s">
        <v>82</v>
      </c>
      <c r="AI47" s="23" t="s">
        <v>69</v>
      </c>
      <c r="AJ47" s="23" t="s">
        <v>1069</v>
      </c>
      <c r="AK47" s="22">
        <v>32</v>
      </c>
      <c r="AL47" s="6">
        <v>20</v>
      </c>
      <c r="AP47" s="6">
        <v>2</v>
      </c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</row>
    <row r="48" spans="1:137" ht="36" customHeight="1" x14ac:dyDescent="0.25">
      <c r="A48" s="55">
        <v>45432</v>
      </c>
      <c r="B48" s="50" t="s">
        <v>537</v>
      </c>
      <c r="C48" s="57"/>
      <c r="D48" s="6" t="s">
        <v>35</v>
      </c>
      <c r="E48" s="6" t="s">
        <v>153</v>
      </c>
      <c r="G48" s="6" t="s">
        <v>142</v>
      </c>
      <c r="H48" s="20"/>
      <c r="J48" s="21">
        <v>109870</v>
      </c>
      <c r="K48" s="23" t="s">
        <v>536</v>
      </c>
      <c r="L48" s="23" t="s">
        <v>864</v>
      </c>
      <c r="M48" s="23" t="s">
        <v>67</v>
      </c>
      <c r="N48" s="23" t="s">
        <v>38</v>
      </c>
      <c r="Q48" s="37" t="s">
        <v>852</v>
      </c>
      <c r="R48" s="19">
        <v>45476</v>
      </c>
      <c r="S48" s="33">
        <v>45491</v>
      </c>
      <c r="T48" s="19">
        <v>45491</v>
      </c>
      <c r="U48" s="19">
        <v>45496</v>
      </c>
      <c r="V48" s="19">
        <f>+U48</f>
        <v>45496</v>
      </c>
      <c r="W48" s="19">
        <v>45499</v>
      </c>
      <c r="X48" s="19">
        <v>45505</v>
      </c>
      <c r="AA48" s="19">
        <v>45443</v>
      </c>
      <c r="AB48" s="19">
        <v>45509</v>
      </c>
      <c r="AC48" s="27">
        <v>45446</v>
      </c>
      <c r="AD48" s="27">
        <v>45525</v>
      </c>
      <c r="AE48" s="19">
        <v>45527</v>
      </c>
      <c r="AF48" s="23" t="s">
        <v>149</v>
      </c>
      <c r="AG48" s="23" t="s">
        <v>165</v>
      </c>
      <c r="AH48" s="23" t="s">
        <v>82</v>
      </c>
      <c r="AI48" s="23" t="s">
        <v>69</v>
      </c>
      <c r="AJ48" s="37" t="s">
        <v>1070</v>
      </c>
      <c r="AK48" s="22">
        <v>150</v>
      </c>
      <c r="AL48" s="6">
        <v>40</v>
      </c>
      <c r="AM48" s="6">
        <v>45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</row>
    <row r="49" spans="1:137" ht="36" customHeight="1" x14ac:dyDescent="0.25">
      <c r="A49" s="55">
        <v>45429</v>
      </c>
      <c r="B49" s="50" t="s">
        <v>471</v>
      </c>
      <c r="C49" s="57"/>
      <c r="D49" s="6" t="s">
        <v>35</v>
      </c>
      <c r="E49" s="6" t="s">
        <v>146</v>
      </c>
      <c r="F49" s="6" t="s">
        <v>141</v>
      </c>
      <c r="G49" s="6" t="s">
        <v>163</v>
      </c>
      <c r="H49" s="20"/>
      <c r="J49" s="21">
        <v>108573</v>
      </c>
      <c r="K49" s="23" t="s">
        <v>124</v>
      </c>
      <c r="L49" s="23" t="s">
        <v>472</v>
      </c>
      <c r="M49" s="23">
        <v>63542</v>
      </c>
      <c r="N49" s="23" t="s">
        <v>143</v>
      </c>
      <c r="Q49" s="6" t="s">
        <v>474</v>
      </c>
      <c r="R49" s="28" t="s">
        <v>928</v>
      </c>
      <c r="S49" s="19">
        <v>45397</v>
      </c>
      <c r="T49" s="19">
        <v>45400</v>
      </c>
      <c r="U49" s="19">
        <v>45404</v>
      </c>
      <c r="V49" s="19">
        <f>+U49</f>
        <v>45404</v>
      </c>
      <c r="W49" s="33">
        <v>45448</v>
      </c>
      <c r="X49" s="33">
        <v>45453</v>
      </c>
      <c r="Z49" s="6" t="s">
        <v>72</v>
      </c>
      <c r="AA49" s="6" t="s">
        <v>474</v>
      </c>
      <c r="AB49" s="19">
        <v>45512</v>
      </c>
      <c r="AC49" s="27">
        <v>45377</v>
      </c>
      <c r="AD49" s="27">
        <v>45526</v>
      </c>
      <c r="AE49" s="19">
        <v>45527</v>
      </c>
      <c r="AF49" s="23" t="s">
        <v>149</v>
      </c>
      <c r="AG49" s="23" t="s">
        <v>165</v>
      </c>
      <c r="AH49" s="30" t="s">
        <v>78</v>
      </c>
      <c r="AI49" s="23" t="s">
        <v>64</v>
      </c>
      <c r="AJ49" s="23" t="s">
        <v>918</v>
      </c>
      <c r="AK49" s="22">
        <v>225</v>
      </c>
      <c r="AO49" s="6">
        <v>40</v>
      </c>
      <c r="AP49" s="6">
        <v>40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</row>
    <row r="50" spans="1:137" ht="36" customHeight="1" x14ac:dyDescent="0.25">
      <c r="A50" s="55">
        <v>45460</v>
      </c>
      <c r="B50" s="21" t="s">
        <v>819</v>
      </c>
      <c r="C50" s="57"/>
      <c r="D50" s="6" t="s">
        <v>35</v>
      </c>
      <c r="E50" s="6" t="s">
        <v>146</v>
      </c>
      <c r="G50" s="6" t="s">
        <v>163</v>
      </c>
      <c r="H50" s="20"/>
      <c r="J50" s="21">
        <v>111683</v>
      </c>
      <c r="K50" s="23" t="s">
        <v>252</v>
      </c>
      <c r="L50" s="23" t="s">
        <v>773</v>
      </c>
      <c r="M50" s="23" t="s">
        <v>253</v>
      </c>
      <c r="N50" s="23" t="s">
        <v>38</v>
      </c>
      <c r="Q50" s="23" t="s">
        <v>755</v>
      </c>
      <c r="R50" s="28" t="s">
        <v>748</v>
      </c>
      <c r="S50" s="19">
        <v>45470</v>
      </c>
      <c r="T50" s="19">
        <v>45482</v>
      </c>
      <c r="U50" s="19">
        <v>45495</v>
      </c>
      <c r="V50" s="19">
        <f>+U50</f>
        <v>45495</v>
      </c>
      <c r="W50" s="19">
        <v>45506</v>
      </c>
      <c r="X50" s="19">
        <v>45520</v>
      </c>
      <c r="Z50" s="6" t="s">
        <v>67</v>
      </c>
      <c r="AA50" s="19">
        <v>45538</v>
      </c>
      <c r="AB50" s="19">
        <v>45524</v>
      </c>
      <c r="AC50" s="27">
        <v>45531</v>
      </c>
      <c r="AD50" s="27"/>
      <c r="AE50" s="19">
        <v>45533</v>
      </c>
      <c r="AF50" s="23" t="s">
        <v>149</v>
      </c>
      <c r="AG50" s="23" t="s">
        <v>165</v>
      </c>
      <c r="AH50" s="30" t="s">
        <v>78</v>
      </c>
      <c r="AI50" s="23" t="s">
        <v>69</v>
      </c>
      <c r="AJ50" s="46" t="s">
        <v>828</v>
      </c>
      <c r="AK50" s="22">
        <v>480</v>
      </c>
      <c r="AL50" s="6">
        <v>60</v>
      </c>
      <c r="AM50" s="6">
        <v>60</v>
      </c>
      <c r="AN50" s="6">
        <v>30</v>
      </c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</row>
    <row r="51" spans="1:137" ht="36" customHeight="1" x14ac:dyDescent="0.25">
      <c r="A51" s="55">
        <v>45460</v>
      </c>
      <c r="B51" s="50" t="s">
        <v>820</v>
      </c>
      <c r="C51" s="57"/>
      <c r="D51" s="6" t="s">
        <v>36</v>
      </c>
      <c r="E51" s="6" t="s">
        <v>146</v>
      </c>
      <c r="G51" s="6" t="s">
        <v>163</v>
      </c>
      <c r="H51" s="20"/>
      <c r="J51" s="21">
        <v>111720</v>
      </c>
      <c r="K51" s="23" t="s">
        <v>252</v>
      </c>
      <c r="L51" s="23" t="s">
        <v>844</v>
      </c>
      <c r="M51" s="23" t="s">
        <v>258</v>
      </c>
      <c r="N51" s="23" t="s">
        <v>38</v>
      </c>
      <c r="Q51" s="23" t="s">
        <v>711</v>
      </c>
      <c r="R51" s="19" t="s">
        <v>624</v>
      </c>
      <c r="S51" s="19">
        <v>45470</v>
      </c>
      <c r="T51" s="19">
        <v>45471</v>
      </c>
      <c r="U51" s="19">
        <v>45470</v>
      </c>
      <c r="V51" s="19">
        <f>+U51</f>
        <v>45470</v>
      </c>
      <c r="W51" s="19">
        <v>45474</v>
      </c>
      <c r="X51" s="19">
        <v>45475</v>
      </c>
      <c r="Z51" s="6" t="s">
        <v>67</v>
      </c>
      <c r="AA51" s="19">
        <v>45545</v>
      </c>
      <c r="AB51" s="19">
        <v>45530</v>
      </c>
      <c r="AC51" s="27">
        <v>45531</v>
      </c>
      <c r="AD51" s="27"/>
      <c r="AE51" s="19">
        <v>45533</v>
      </c>
      <c r="AF51" s="23" t="s">
        <v>149</v>
      </c>
      <c r="AG51" s="23" t="s">
        <v>165</v>
      </c>
      <c r="AI51" s="23" t="s">
        <v>64</v>
      </c>
      <c r="AJ51" s="46" t="s">
        <v>827</v>
      </c>
      <c r="AK51" s="22">
        <v>50</v>
      </c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</row>
    <row r="52" spans="1:137" ht="36" customHeight="1" x14ac:dyDescent="0.25">
      <c r="A52" s="55">
        <v>45474</v>
      </c>
      <c r="B52" s="50" t="s">
        <v>869</v>
      </c>
      <c r="C52" s="57"/>
      <c r="D52" s="6" t="s">
        <v>35</v>
      </c>
      <c r="E52" s="6" t="s">
        <v>153</v>
      </c>
      <c r="G52" s="6" t="s">
        <v>163</v>
      </c>
      <c r="H52" s="20"/>
      <c r="J52" s="21">
        <v>113627</v>
      </c>
      <c r="K52" s="23" t="s">
        <v>868</v>
      </c>
      <c r="L52" s="37" t="s">
        <v>798</v>
      </c>
      <c r="M52" s="23">
        <v>32082831</v>
      </c>
      <c r="N52" s="23" t="s">
        <v>154</v>
      </c>
      <c r="Q52" s="6" t="s">
        <v>474</v>
      </c>
      <c r="R52" s="19">
        <v>45527</v>
      </c>
      <c r="Z52" s="6" t="s">
        <v>72</v>
      </c>
      <c r="AA52" s="6" t="s">
        <v>474</v>
      </c>
      <c r="AC52" s="27">
        <v>45532</v>
      </c>
      <c r="AD52" s="27">
        <v>45531</v>
      </c>
      <c r="AE52" s="19">
        <v>45534</v>
      </c>
      <c r="AF52" s="23" t="s">
        <v>149</v>
      </c>
      <c r="AG52" s="23" t="s">
        <v>148</v>
      </c>
      <c r="AH52" s="23" t="s">
        <v>82</v>
      </c>
      <c r="AI52" s="23" t="s">
        <v>77</v>
      </c>
      <c r="AJ52" s="23" t="s">
        <v>947</v>
      </c>
      <c r="AK52" s="22">
        <v>4</v>
      </c>
      <c r="AP52" s="6">
        <v>4</v>
      </c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</row>
    <row r="53" spans="1:137" ht="36" customHeight="1" x14ac:dyDescent="0.25">
      <c r="A53" s="55">
        <v>45456</v>
      </c>
      <c r="B53" s="50" t="s">
        <v>751</v>
      </c>
      <c r="C53" s="57" t="s">
        <v>35</v>
      </c>
      <c r="D53" s="6" t="s">
        <v>35</v>
      </c>
      <c r="E53" s="6" t="s">
        <v>153</v>
      </c>
      <c r="G53" s="6" t="s">
        <v>157</v>
      </c>
      <c r="H53" s="20"/>
      <c r="J53" s="21">
        <v>113029</v>
      </c>
      <c r="K53" s="23" t="s">
        <v>750</v>
      </c>
      <c r="L53" s="23" t="s">
        <v>753</v>
      </c>
      <c r="M53" s="23" t="s">
        <v>752</v>
      </c>
      <c r="N53" s="23" t="s">
        <v>38</v>
      </c>
      <c r="Q53" s="48" t="s">
        <v>853</v>
      </c>
      <c r="R53" s="19">
        <v>45497</v>
      </c>
      <c r="S53" s="19">
        <v>45498</v>
      </c>
      <c r="T53" s="19">
        <v>45502</v>
      </c>
      <c r="U53" s="19">
        <v>45505</v>
      </c>
      <c r="V53" s="19">
        <f>+U53</f>
        <v>45505</v>
      </c>
      <c r="W53" s="19">
        <v>45509</v>
      </c>
      <c r="X53" s="19">
        <v>45512</v>
      </c>
      <c r="Z53" s="6" t="s">
        <v>72</v>
      </c>
      <c r="AA53" s="6" t="s">
        <v>474</v>
      </c>
      <c r="AB53" s="19">
        <v>45515</v>
      </c>
      <c r="AC53" s="27">
        <v>45531</v>
      </c>
      <c r="AD53" s="27"/>
      <c r="AE53" s="19">
        <v>45534</v>
      </c>
      <c r="AF53" s="23" t="s">
        <v>149</v>
      </c>
      <c r="AG53" s="23" t="s">
        <v>165</v>
      </c>
      <c r="AH53" s="23" t="s">
        <v>82</v>
      </c>
      <c r="AI53" s="23" t="s">
        <v>59</v>
      </c>
      <c r="AJ53" s="23" t="s">
        <v>911</v>
      </c>
      <c r="AK53" s="22">
        <v>135</v>
      </c>
      <c r="AL53" s="6">
        <v>20</v>
      </c>
      <c r="AM53" s="6">
        <v>50</v>
      </c>
      <c r="AN53" s="6">
        <v>65</v>
      </c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</row>
    <row r="54" spans="1:137" ht="36" customHeight="1" x14ac:dyDescent="0.25">
      <c r="A54" s="55">
        <v>45490</v>
      </c>
      <c r="B54" s="50" t="s">
        <v>976</v>
      </c>
      <c r="C54" s="57"/>
      <c r="D54" s="29"/>
      <c r="E54" s="6" t="s">
        <v>153</v>
      </c>
      <c r="H54" s="20"/>
      <c r="J54" s="21">
        <v>114073</v>
      </c>
      <c r="K54" s="23" t="s">
        <v>102</v>
      </c>
      <c r="L54" s="23" t="s">
        <v>1068</v>
      </c>
      <c r="M54" s="23">
        <v>3300006902</v>
      </c>
      <c r="N54" s="23" t="s">
        <v>38</v>
      </c>
      <c r="AC54" s="27">
        <v>45532</v>
      </c>
      <c r="AD54" s="27"/>
      <c r="AE54" s="19">
        <v>45534</v>
      </c>
      <c r="AF54" s="32" t="s">
        <v>152</v>
      </c>
      <c r="AH54" s="23" t="s">
        <v>65</v>
      </c>
      <c r="AI54" s="23" t="s">
        <v>77</v>
      </c>
      <c r="AJ54" s="37"/>
      <c r="AK54" s="22">
        <v>1829</v>
      </c>
      <c r="AO54" s="6">
        <v>60</v>
      </c>
      <c r="AP54" s="6">
        <v>60</v>
      </c>
      <c r="AQ54" s="6">
        <v>70</v>
      </c>
      <c r="AR54" s="6">
        <v>20</v>
      </c>
      <c r="AS54" s="6">
        <v>80</v>
      </c>
      <c r="AT54" s="6">
        <v>80</v>
      </c>
      <c r="AU54" s="6">
        <v>70</v>
      </c>
      <c r="AV54" s="6">
        <v>70</v>
      </c>
      <c r="AW54" s="6">
        <v>70</v>
      </c>
      <c r="AX54" s="6">
        <v>20</v>
      </c>
      <c r="AY54" s="6">
        <v>70</v>
      </c>
      <c r="AZ54" s="6">
        <v>70</v>
      </c>
      <c r="BA54" s="6">
        <v>70</v>
      </c>
      <c r="BB54" s="6">
        <v>70</v>
      </c>
      <c r="BC54" s="6">
        <v>20</v>
      </c>
      <c r="BD54" s="6">
        <v>70</v>
      </c>
      <c r="BE54" s="6">
        <v>70</v>
      </c>
      <c r="BF54" s="6">
        <v>70</v>
      </c>
      <c r="BG54" s="6">
        <v>70</v>
      </c>
      <c r="BH54" s="6">
        <v>20</v>
      </c>
      <c r="BI54" s="6">
        <v>70</v>
      </c>
      <c r="BJ54" s="6">
        <v>70</v>
      </c>
      <c r="BK54" s="6">
        <v>70</v>
      </c>
      <c r="BL54" s="6">
        <v>70</v>
      </c>
      <c r="BM54" s="6">
        <v>20</v>
      </c>
      <c r="BN54" s="6">
        <v>70</v>
      </c>
      <c r="BO54" s="6">
        <v>70</v>
      </c>
      <c r="BP54" s="6">
        <v>70</v>
      </c>
      <c r="BQ54" s="6">
        <v>70</v>
      </c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</row>
    <row r="55" spans="1:137" ht="36" customHeight="1" x14ac:dyDescent="0.25">
      <c r="A55" s="55">
        <v>45456</v>
      </c>
      <c r="B55" s="50" t="s">
        <v>730</v>
      </c>
      <c r="C55" s="57"/>
      <c r="D55" s="6" t="s">
        <v>36</v>
      </c>
      <c r="E55" s="6" t="s">
        <v>146</v>
      </c>
      <c r="G55" s="6" t="s">
        <v>163</v>
      </c>
      <c r="H55" s="20"/>
      <c r="J55" s="21">
        <v>112977</v>
      </c>
      <c r="K55" s="23" t="s">
        <v>278</v>
      </c>
      <c r="L55" s="23" t="s">
        <v>727</v>
      </c>
      <c r="M55" s="23" t="s">
        <v>728</v>
      </c>
      <c r="N55" s="23" t="s">
        <v>154</v>
      </c>
      <c r="Q55" s="6" t="s">
        <v>474</v>
      </c>
      <c r="R55" s="19"/>
      <c r="Z55" s="6" t="s">
        <v>72</v>
      </c>
      <c r="AA55" s="6" t="s">
        <v>474</v>
      </c>
      <c r="AB55" s="19">
        <v>45532</v>
      </c>
      <c r="AC55" s="27">
        <v>45533</v>
      </c>
      <c r="AD55" s="27"/>
      <c r="AE55" s="19">
        <v>45537</v>
      </c>
      <c r="AF55" s="32" t="s">
        <v>152</v>
      </c>
      <c r="AH55" s="23" t="s">
        <v>65</v>
      </c>
      <c r="AI55" s="23" t="s">
        <v>77</v>
      </c>
      <c r="AK55" s="22">
        <v>56</v>
      </c>
      <c r="AO55" s="6">
        <v>30</v>
      </c>
      <c r="AP55" s="6">
        <v>20</v>
      </c>
      <c r="AQ55" s="6">
        <v>6</v>
      </c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</row>
    <row r="56" spans="1:137" ht="36" customHeight="1" x14ac:dyDescent="0.25">
      <c r="A56" s="55">
        <v>45448</v>
      </c>
      <c r="B56" s="50" t="s">
        <v>654</v>
      </c>
      <c r="C56" s="57"/>
      <c r="D56" s="6" t="s">
        <v>36</v>
      </c>
      <c r="E56" s="6" t="s">
        <v>146</v>
      </c>
      <c r="G56" s="6" t="s">
        <v>163</v>
      </c>
      <c r="H56" s="20"/>
      <c r="J56" s="21">
        <v>112670</v>
      </c>
      <c r="K56" s="23" t="s">
        <v>278</v>
      </c>
      <c r="L56" s="23" t="s">
        <v>652</v>
      </c>
      <c r="M56" s="23" t="s">
        <v>653</v>
      </c>
      <c r="N56" s="23" t="s">
        <v>154</v>
      </c>
      <c r="Q56" s="6" t="s">
        <v>474</v>
      </c>
      <c r="Z56" s="6" t="s">
        <v>72</v>
      </c>
      <c r="AA56" s="6" t="s">
        <v>474</v>
      </c>
      <c r="AB56" s="19">
        <v>45532</v>
      </c>
      <c r="AC56" s="27">
        <v>45546</v>
      </c>
      <c r="AD56" s="27">
        <v>45533</v>
      </c>
      <c r="AE56" s="19">
        <v>45537</v>
      </c>
      <c r="AF56" s="32" t="s">
        <v>152</v>
      </c>
      <c r="AH56" s="23" t="s">
        <v>65</v>
      </c>
      <c r="AI56" s="23" t="s">
        <v>77</v>
      </c>
      <c r="AK56" s="22">
        <v>56</v>
      </c>
      <c r="AO56" s="6">
        <v>40</v>
      </c>
      <c r="AP56" s="6">
        <v>16</v>
      </c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</row>
    <row r="57" spans="1:137" ht="36" customHeight="1" x14ac:dyDescent="0.25">
      <c r="A57" s="55">
        <v>45462</v>
      </c>
      <c r="B57" s="50" t="s">
        <v>779</v>
      </c>
      <c r="C57" s="57"/>
      <c r="D57" s="6" t="s">
        <v>36</v>
      </c>
      <c r="E57" s="6" t="s">
        <v>146</v>
      </c>
      <c r="G57" s="6" t="s">
        <v>163</v>
      </c>
      <c r="H57" s="20"/>
      <c r="J57" s="21">
        <v>113222</v>
      </c>
      <c r="K57" s="23" t="s">
        <v>278</v>
      </c>
      <c r="L57" s="23" t="s">
        <v>538</v>
      </c>
      <c r="M57" s="23" t="s">
        <v>780</v>
      </c>
      <c r="N57" s="23" t="s">
        <v>164</v>
      </c>
      <c r="Q57" s="6" t="s">
        <v>474</v>
      </c>
      <c r="R57" s="19">
        <v>45497</v>
      </c>
      <c r="S57" s="19"/>
      <c r="Y57" s="6" t="s">
        <v>474</v>
      </c>
      <c r="Z57" s="6" t="s">
        <v>72</v>
      </c>
      <c r="AA57" s="6" t="s">
        <v>474</v>
      </c>
      <c r="AB57" s="19">
        <v>45532</v>
      </c>
      <c r="AC57" s="27">
        <v>45533</v>
      </c>
      <c r="AD57" s="27"/>
      <c r="AE57" s="19">
        <v>45537</v>
      </c>
      <c r="AF57" s="23" t="s">
        <v>149</v>
      </c>
      <c r="AG57" s="23" t="s">
        <v>165</v>
      </c>
      <c r="AH57" s="23" t="s">
        <v>82</v>
      </c>
      <c r="AI57" s="23" t="s">
        <v>77</v>
      </c>
      <c r="AK57" s="22">
        <v>192</v>
      </c>
      <c r="AL57" s="6">
        <v>35</v>
      </c>
      <c r="AM57" s="6">
        <v>75</v>
      </c>
      <c r="AN57" s="6">
        <v>50</v>
      </c>
      <c r="AO57" s="6">
        <v>32</v>
      </c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</row>
    <row r="58" spans="1:137" ht="36" customHeight="1" x14ac:dyDescent="0.25">
      <c r="A58" s="55">
        <v>45454</v>
      </c>
      <c r="B58" s="50" t="s">
        <v>718</v>
      </c>
      <c r="C58" s="57" t="s">
        <v>36</v>
      </c>
      <c r="D58" s="6" t="s">
        <v>36</v>
      </c>
      <c r="E58" s="6" t="s">
        <v>140</v>
      </c>
      <c r="G58" s="6" t="s">
        <v>163</v>
      </c>
      <c r="H58" s="20"/>
      <c r="J58" s="21">
        <v>112879</v>
      </c>
      <c r="K58" s="23" t="s">
        <v>112</v>
      </c>
      <c r="L58" s="23" t="s">
        <v>937</v>
      </c>
      <c r="M58" s="23" t="s">
        <v>719</v>
      </c>
      <c r="N58" s="23" t="s">
        <v>38</v>
      </c>
      <c r="Q58" s="52" t="s">
        <v>902</v>
      </c>
      <c r="AB58" s="27">
        <v>45533</v>
      </c>
      <c r="AC58" s="27">
        <v>45534</v>
      </c>
      <c r="AD58" s="27"/>
      <c r="AE58" s="19">
        <v>45538</v>
      </c>
      <c r="AF58" s="23" t="s">
        <v>149</v>
      </c>
      <c r="AG58" s="23" t="s">
        <v>165</v>
      </c>
      <c r="AH58" s="23" t="s">
        <v>82</v>
      </c>
      <c r="AI58" s="23" t="s">
        <v>77</v>
      </c>
      <c r="AJ58" s="23" t="s">
        <v>1045</v>
      </c>
      <c r="AK58" s="22">
        <v>398</v>
      </c>
      <c r="AL58" s="6">
        <v>48</v>
      </c>
      <c r="AM58" s="6">
        <v>75</v>
      </c>
      <c r="AN58" s="6">
        <v>75</v>
      </c>
      <c r="AO58" s="6">
        <v>75</v>
      </c>
      <c r="AP58" s="6">
        <v>75</v>
      </c>
      <c r="AQ58" s="6">
        <v>50</v>
      </c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</row>
    <row r="59" spans="1:137" ht="36" customHeight="1" x14ac:dyDescent="0.25">
      <c r="A59" s="55">
        <v>45463</v>
      </c>
      <c r="B59" s="50" t="s">
        <v>422</v>
      </c>
      <c r="C59" s="57"/>
      <c r="D59" s="6" t="s">
        <v>36</v>
      </c>
      <c r="E59" s="6" t="s">
        <v>153</v>
      </c>
      <c r="G59" s="6" t="s">
        <v>157</v>
      </c>
      <c r="H59" s="20"/>
      <c r="J59" s="21">
        <v>113272</v>
      </c>
      <c r="K59" s="23" t="s">
        <v>421</v>
      </c>
      <c r="L59" s="23" t="s">
        <v>879</v>
      </c>
      <c r="M59" s="23">
        <v>65155</v>
      </c>
      <c r="N59" s="23" t="s">
        <v>38</v>
      </c>
      <c r="Q59" s="23" t="s">
        <v>851</v>
      </c>
      <c r="R59" s="19">
        <v>45511</v>
      </c>
      <c r="S59" s="19">
        <v>45512</v>
      </c>
      <c r="T59" s="19">
        <v>45516</v>
      </c>
      <c r="U59" s="19">
        <v>45519</v>
      </c>
      <c r="V59" s="19">
        <f>+U59</f>
        <v>45519</v>
      </c>
      <c r="W59" s="19">
        <v>45524</v>
      </c>
      <c r="X59" s="19">
        <v>45527</v>
      </c>
      <c r="AB59" s="27">
        <v>45530</v>
      </c>
      <c r="AC59" s="27">
        <v>45534</v>
      </c>
      <c r="AD59" s="27"/>
      <c r="AE59" s="19">
        <v>45537</v>
      </c>
      <c r="AF59" s="23" t="s">
        <v>149</v>
      </c>
      <c r="AG59" s="23" t="s">
        <v>165</v>
      </c>
      <c r="AH59" s="23" t="s">
        <v>82</v>
      </c>
      <c r="AI59" s="23" t="s">
        <v>77</v>
      </c>
      <c r="AJ59" s="37"/>
      <c r="AK59" s="22">
        <v>147</v>
      </c>
      <c r="AN59" s="6">
        <v>50</v>
      </c>
      <c r="AO59" s="6">
        <v>25</v>
      </c>
      <c r="AP59" s="6">
        <v>50</v>
      </c>
      <c r="AQ59" s="6">
        <v>22</v>
      </c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</row>
    <row r="60" spans="1:137" ht="36" customHeight="1" x14ac:dyDescent="0.25">
      <c r="A60" s="55">
        <v>45449</v>
      </c>
      <c r="B60" s="50" t="s">
        <v>749</v>
      </c>
      <c r="C60" s="57" t="s">
        <v>35</v>
      </c>
      <c r="D60" s="6" t="s">
        <v>35</v>
      </c>
      <c r="E60" s="6" t="s">
        <v>153</v>
      </c>
      <c r="G60" s="6" t="s">
        <v>157</v>
      </c>
      <c r="H60" s="20"/>
      <c r="J60" s="21">
        <v>112756</v>
      </c>
      <c r="K60" s="23" t="s">
        <v>305</v>
      </c>
      <c r="L60" s="23" t="s">
        <v>969</v>
      </c>
      <c r="M60" s="23">
        <v>4000245353</v>
      </c>
      <c r="N60" s="23" t="s">
        <v>38</v>
      </c>
      <c r="Q60" s="52" t="s">
        <v>933</v>
      </c>
      <c r="R60" s="19">
        <v>45497</v>
      </c>
      <c r="S60" s="19">
        <v>45502</v>
      </c>
      <c r="T60" s="19">
        <v>45504</v>
      </c>
      <c r="AB60" s="27">
        <v>45534</v>
      </c>
      <c r="AC60" s="27">
        <v>45537</v>
      </c>
      <c r="AD60" s="27"/>
      <c r="AE60" s="19">
        <v>45538</v>
      </c>
      <c r="AF60" s="23" t="s">
        <v>149</v>
      </c>
      <c r="AG60" s="23" t="s">
        <v>165</v>
      </c>
      <c r="AH60" s="23" t="s">
        <v>82</v>
      </c>
      <c r="AI60" s="23" t="s">
        <v>77</v>
      </c>
      <c r="AK60" s="22">
        <v>40</v>
      </c>
      <c r="AM60" s="6">
        <v>30</v>
      </c>
      <c r="AN60" s="6">
        <v>10</v>
      </c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</row>
    <row r="61" spans="1:137" ht="36" customHeight="1" x14ac:dyDescent="0.25">
      <c r="A61" s="55">
        <v>45464</v>
      </c>
      <c r="B61" s="50" t="s">
        <v>801</v>
      </c>
      <c r="C61" s="57"/>
      <c r="D61" s="6" t="s">
        <v>36</v>
      </c>
      <c r="E61" s="6" t="s">
        <v>153</v>
      </c>
      <c r="G61" s="6" t="s">
        <v>142</v>
      </c>
      <c r="H61" s="20"/>
      <c r="J61" s="21">
        <v>113672</v>
      </c>
      <c r="K61" s="23" t="s">
        <v>796</v>
      </c>
      <c r="L61" s="23" t="s">
        <v>1037</v>
      </c>
      <c r="M61" s="23" t="s">
        <v>67</v>
      </c>
      <c r="N61" s="23" t="s">
        <v>38</v>
      </c>
      <c r="Q61" s="37" t="s">
        <v>975</v>
      </c>
      <c r="R61" s="19">
        <v>45489</v>
      </c>
      <c r="S61" s="19">
        <v>45491</v>
      </c>
      <c r="Z61" s="6" t="s">
        <v>84</v>
      </c>
      <c r="AC61" s="27">
        <v>45505</v>
      </c>
      <c r="AD61" s="27">
        <v>45539</v>
      </c>
      <c r="AE61" s="19">
        <v>45541</v>
      </c>
      <c r="AF61" s="23" t="s">
        <v>149</v>
      </c>
      <c r="AG61" s="23" t="s">
        <v>165</v>
      </c>
      <c r="AH61" s="23" t="s">
        <v>82</v>
      </c>
      <c r="AI61" s="23" t="s">
        <v>77</v>
      </c>
      <c r="AJ61" s="37"/>
      <c r="AK61" s="22">
        <v>332</v>
      </c>
      <c r="AL61" s="38">
        <v>100</v>
      </c>
      <c r="AM61" s="38">
        <v>75</v>
      </c>
      <c r="AN61" s="38">
        <v>75</v>
      </c>
      <c r="AO61" s="38">
        <v>50</v>
      </c>
      <c r="AP61" s="6">
        <v>32</v>
      </c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</row>
    <row r="62" spans="1:137" ht="36" customHeight="1" x14ac:dyDescent="0.25">
      <c r="A62" s="55">
        <v>45432</v>
      </c>
      <c r="B62" s="50" t="s">
        <v>549</v>
      </c>
      <c r="C62" s="57"/>
      <c r="D62" s="6" t="s">
        <v>35</v>
      </c>
      <c r="E62" s="6" t="s">
        <v>153</v>
      </c>
      <c r="H62" s="20"/>
      <c r="J62" s="21">
        <v>111491</v>
      </c>
      <c r="K62" s="23" t="s">
        <v>115</v>
      </c>
      <c r="L62" s="23" t="s">
        <v>798</v>
      </c>
      <c r="M62" s="23" t="s">
        <v>67</v>
      </c>
      <c r="N62" s="23" t="s">
        <v>38</v>
      </c>
      <c r="AB62" s="27">
        <v>45544</v>
      </c>
      <c r="AC62" s="36">
        <v>45540</v>
      </c>
      <c r="AD62" s="27"/>
      <c r="AE62" s="33">
        <v>45545</v>
      </c>
      <c r="AF62" s="23" t="s">
        <v>156</v>
      </c>
      <c r="AG62" s="31" t="s">
        <v>168</v>
      </c>
      <c r="AH62" s="23" t="s">
        <v>65</v>
      </c>
      <c r="AI62" s="23" t="s">
        <v>77</v>
      </c>
      <c r="AJ62" s="23" t="s">
        <v>1064</v>
      </c>
      <c r="AK62" s="22">
        <v>8</v>
      </c>
      <c r="AQ62" s="6">
        <v>8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</row>
    <row r="63" spans="1:137" ht="36" customHeight="1" x14ac:dyDescent="0.25">
      <c r="A63" s="55">
        <v>45489</v>
      </c>
      <c r="B63" s="50" t="s">
        <v>966</v>
      </c>
      <c r="C63" s="57"/>
      <c r="D63" s="6" t="s">
        <v>36</v>
      </c>
      <c r="E63" s="6" t="s">
        <v>146</v>
      </c>
      <c r="G63" s="38" t="s">
        <v>157</v>
      </c>
      <c r="H63" s="20"/>
      <c r="J63" s="21">
        <v>114036</v>
      </c>
      <c r="K63" s="23" t="s">
        <v>123</v>
      </c>
      <c r="L63" s="23" t="s">
        <v>967</v>
      </c>
      <c r="M63" s="23" t="s">
        <v>968</v>
      </c>
      <c r="N63" s="23" t="s">
        <v>38</v>
      </c>
      <c r="AC63" s="27">
        <v>45541</v>
      </c>
      <c r="AD63" s="27"/>
      <c r="AE63" s="19">
        <v>45544</v>
      </c>
      <c r="AF63" s="23" t="s">
        <v>156</v>
      </c>
      <c r="AG63" s="23" t="s">
        <v>178</v>
      </c>
      <c r="AH63" s="23" t="s">
        <v>82</v>
      </c>
      <c r="AI63" s="23" t="s">
        <v>77</v>
      </c>
      <c r="AJ63" s="23" t="s">
        <v>1086</v>
      </c>
      <c r="AK63" s="22">
        <v>60</v>
      </c>
      <c r="AO63" s="6">
        <v>40</v>
      </c>
      <c r="AP63" s="6">
        <v>16</v>
      </c>
      <c r="DX63" s="6"/>
      <c r="DY63" s="6"/>
      <c r="DZ63" s="6"/>
      <c r="EA63" s="6"/>
      <c r="EB63" s="6"/>
      <c r="EC63" s="6"/>
      <c r="ED63" s="6"/>
      <c r="EE63" s="6"/>
      <c r="EF63" s="6"/>
      <c r="EG63" s="6"/>
    </row>
    <row r="64" spans="1:137" ht="36" customHeight="1" x14ac:dyDescent="0.25">
      <c r="A64" s="55">
        <v>45432</v>
      </c>
      <c r="B64" s="50" t="s">
        <v>546</v>
      </c>
      <c r="C64" s="57" t="s">
        <v>35</v>
      </c>
      <c r="D64" s="6" t="s">
        <v>35</v>
      </c>
      <c r="E64" s="6" t="s">
        <v>153</v>
      </c>
      <c r="G64" s="6" t="s">
        <v>157</v>
      </c>
      <c r="H64" s="20"/>
      <c r="J64" s="21">
        <v>109159</v>
      </c>
      <c r="K64" s="23" t="s">
        <v>115</v>
      </c>
      <c r="L64" s="23" t="s">
        <v>774</v>
      </c>
      <c r="M64" s="23" t="s">
        <v>67</v>
      </c>
      <c r="N64" s="23" t="s">
        <v>38</v>
      </c>
      <c r="Q64" s="37" t="s">
        <v>721</v>
      </c>
      <c r="R64" s="19">
        <v>45454</v>
      </c>
      <c r="S64" s="19">
        <v>45461</v>
      </c>
      <c r="T64" s="19">
        <v>45462</v>
      </c>
      <c r="U64" s="19">
        <v>45464</v>
      </c>
      <c r="V64" s="19">
        <f>+U64</f>
        <v>45464</v>
      </c>
      <c r="W64" s="19">
        <v>45476</v>
      </c>
      <c r="X64" s="19">
        <v>45482</v>
      </c>
      <c r="AB64" s="19">
        <v>45540</v>
      </c>
      <c r="AC64" s="27">
        <v>45541</v>
      </c>
      <c r="AD64" s="27"/>
      <c r="AE64" s="19">
        <v>45545</v>
      </c>
      <c r="AF64" s="23" t="s">
        <v>149</v>
      </c>
      <c r="AG64" s="23" t="s">
        <v>165</v>
      </c>
      <c r="AH64" s="30" t="s">
        <v>78</v>
      </c>
      <c r="AI64" s="23" t="s">
        <v>64</v>
      </c>
      <c r="AK64" s="22">
        <v>80</v>
      </c>
      <c r="AL64" s="6">
        <v>5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</row>
    <row r="65" spans="1:137" ht="36" customHeight="1" x14ac:dyDescent="0.25">
      <c r="A65" s="55">
        <v>45432</v>
      </c>
      <c r="B65" s="50" t="s">
        <v>547</v>
      </c>
      <c r="C65" s="57" t="s">
        <v>35</v>
      </c>
      <c r="D65" s="6" t="s">
        <v>35</v>
      </c>
      <c r="E65" s="6" t="s">
        <v>153</v>
      </c>
      <c r="G65" s="6" t="s">
        <v>163</v>
      </c>
      <c r="H65" s="20"/>
      <c r="J65" s="21">
        <v>109159</v>
      </c>
      <c r="K65" s="23" t="s">
        <v>115</v>
      </c>
      <c r="L65" s="23" t="s">
        <v>798</v>
      </c>
      <c r="M65" s="23" t="s">
        <v>67</v>
      </c>
      <c r="N65" s="23" t="s">
        <v>38</v>
      </c>
      <c r="AB65" s="19">
        <v>45540</v>
      </c>
      <c r="AC65" s="27">
        <v>45541</v>
      </c>
      <c r="AD65" s="27"/>
      <c r="AE65" s="19">
        <v>45545</v>
      </c>
      <c r="AF65" s="23" t="s">
        <v>149</v>
      </c>
      <c r="AG65" s="23" t="s">
        <v>165</v>
      </c>
      <c r="AH65" s="23" t="s">
        <v>82</v>
      </c>
      <c r="AI65" s="23" t="s">
        <v>77</v>
      </c>
      <c r="AK65" s="22">
        <v>8</v>
      </c>
      <c r="AQ65" s="6">
        <v>8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</row>
    <row r="66" spans="1:137" ht="36" customHeight="1" x14ac:dyDescent="0.25">
      <c r="A66" s="55">
        <v>45432</v>
      </c>
      <c r="B66" s="50" t="s">
        <v>548</v>
      </c>
      <c r="C66" s="57"/>
      <c r="D66" s="6" t="s">
        <v>35</v>
      </c>
      <c r="E66" s="6" t="s">
        <v>153</v>
      </c>
      <c r="G66" s="6" t="s">
        <v>166</v>
      </c>
      <c r="H66" s="20"/>
      <c r="J66" s="21">
        <v>111491</v>
      </c>
      <c r="K66" s="23" t="s">
        <v>115</v>
      </c>
      <c r="L66" s="23" t="s">
        <v>774</v>
      </c>
      <c r="M66" s="23" t="s">
        <v>67</v>
      </c>
      <c r="N66" s="23" t="s">
        <v>38</v>
      </c>
      <c r="Q66" s="37" t="s">
        <v>722</v>
      </c>
      <c r="R66" s="28" t="s">
        <v>790</v>
      </c>
      <c r="S66" s="19">
        <v>45457</v>
      </c>
      <c r="T66" s="19">
        <v>45461</v>
      </c>
      <c r="U66" s="19">
        <v>45461</v>
      </c>
      <c r="V66" s="19">
        <f>+U66</f>
        <v>45461</v>
      </c>
      <c r="W66" s="19"/>
      <c r="X66" s="19"/>
      <c r="AB66" s="19">
        <v>45540</v>
      </c>
      <c r="AC66" s="27">
        <v>45541</v>
      </c>
      <c r="AD66" s="27"/>
      <c r="AE66" s="19">
        <v>45545</v>
      </c>
      <c r="AF66" s="23" t="s">
        <v>149</v>
      </c>
      <c r="AG66" s="23" t="s">
        <v>165</v>
      </c>
      <c r="AH66" s="23" t="s">
        <v>82</v>
      </c>
      <c r="AI66" s="23" t="s">
        <v>64</v>
      </c>
      <c r="AK66" s="22">
        <v>80</v>
      </c>
      <c r="AL66" s="6">
        <v>5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</row>
    <row r="67" spans="1:137" ht="36" customHeight="1" x14ac:dyDescent="0.25">
      <c r="A67" s="55">
        <v>45491</v>
      </c>
      <c r="B67" s="50" t="s">
        <v>1091</v>
      </c>
      <c r="C67" s="57"/>
      <c r="E67" s="6" t="s">
        <v>146</v>
      </c>
      <c r="H67" s="20"/>
      <c r="J67" s="21">
        <v>114190</v>
      </c>
      <c r="K67" s="23" t="s">
        <v>391</v>
      </c>
      <c r="L67" s="23" t="s">
        <v>1092</v>
      </c>
      <c r="M67" s="23">
        <v>2729</v>
      </c>
      <c r="N67" s="23" t="s">
        <v>38</v>
      </c>
      <c r="AC67" s="27">
        <v>45546</v>
      </c>
      <c r="AD67" s="27"/>
      <c r="AE67" s="19">
        <v>45549</v>
      </c>
      <c r="AF67" s="32" t="s">
        <v>152</v>
      </c>
      <c r="AH67" s="23" t="s">
        <v>65</v>
      </c>
      <c r="AI67" s="23" t="s">
        <v>77</v>
      </c>
      <c r="AK67" s="22">
        <v>58</v>
      </c>
      <c r="AR67" s="6">
        <v>38</v>
      </c>
      <c r="AS67" s="6">
        <v>20</v>
      </c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</row>
    <row r="68" spans="1:137" ht="36" customHeight="1" x14ac:dyDescent="0.25">
      <c r="A68" s="55">
        <v>45456</v>
      </c>
      <c r="B68" s="58" t="s">
        <v>732</v>
      </c>
      <c r="C68" s="57"/>
      <c r="D68" s="6" t="s">
        <v>36</v>
      </c>
      <c r="E68" s="6" t="s">
        <v>146</v>
      </c>
      <c r="G68" s="6" t="s">
        <v>163</v>
      </c>
      <c r="H68" s="20"/>
      <c r="J68" s="21">
        <v>112978</v>
      </c>
      <c r="K68" s="23" t="s">
        <v>278</v>
      </c>
      <c r="L68" s="23" t="s">
        <v>612</v>
      </c>
      <c r="M68" s="23" t="s">
        <v>731</v>
      </c>
      <c r="N68" s="23" t="s">
        <v>154</v>
      </c>
      <c r="Q68" s="6" t="s">
        <v>474</v>
      </c>
      <c r="R68" s="19">
        <v>45490</v>
      </c>
      <c r="Z68" s="6" t="s">
        <v>72</v>
      </c>
      <c r="AA68" s="6" t="s">
        <v>474</v>
      </c>
      <c r="AB68" s="27">
        <v>45546</v>
      </c>
      <c r="AC68" s="27">
        <v>45547</v>
      </c>
      <c r="AD68" s="27"/>
      <c r="AE68" s="19">
        <v>45551</v>
      </c>
      <c r="AF68" s="32" t="s">
        <v>152</v>
      </c>
      <c r="AH68" s="23" t="s">
        <v>65</v>
      </c>
      <c r="AI68" s="23" t="s">
        <v>77</v>
      </c>
      <c r="AK68" s="22">
        <v>56</v>
      </c>
      <c r="AP68" s="6">
        <v>40</v>
      </c>
      <c r="AQ68" s="6">
        <v>16</v>
      </c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</row>
    <row r="69" spans="1:137" ht="36" customHeight="1" x14ac:dyDescent="0.25">
      <c r="A69" s="55">
        <v>45456</v>
      </c>
      <c r="B69" s="50" t="s">
        <v>734</v>
      </c>
      <c r="C69" s="57"/>
      <c r="D69" s="6" t="s">
        <v>36</v>
      </c>
      <c r="E69" s="6" t="s">
        <v>146</v>
      </c>
      <c r="G69" s="6" t="s">
        <v>163</v>
      </c>
      <c r="H69" s="20"/>
      <c r="J69" s="21">
        <v>112980</v>
      </c>
      <c r="K69" s="23" t="s">
        <v>278</v>
      </c>
      <c r="L69" s="23" t="s">
        <v>733</v>
      </c>
      <c r="M69" s="23" t="s">
        <v>731</v>
      </c>
      <c r="N69" s="23" t="s">
        <v>154</v>
      </c>
      <c r="Q69" s="6" t="s">
        <v>474</v>
      </c>
      <c r="R69" s="19">
        <v>45490</v>
      </c>
      <c r="Z69" s="6" t="s">
        <v>72</v>
      </c>
      <c r="AA69" s="6" t="s">
        <v>474</v>
      </c>
      <c r="AB69" s="27">
        <v>45546</v>
      </c>
      <c r="AC69" s="27">
        <v>45547</v>
      </c>
      <c r="AD69" s="27"/>
      <c r="AE69" s="19">
        <v>45551</v>
      </c>
      <c r="AF69" s="32" t="s">
        <v>152</v>
      </c>
      <c r="AH69" s="23" t="s">
        <v>65</v>
      </c>
      <c r="AI69" s="23" t="s">
        <v>77</v>
      </c>
      <c r="AK69" s="22">
        <v>56</v>
      </c>
      <c r="AP69" s="6">
        <v>40</v>
      </c>
      <c r="AQ69" s="6">
        <v>16</v>
      </c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</row>
    <row r="70" spans="1:137" ht="36" customHeight="1" x14ac:dyDescent="0.25">
      <c r="A70" s="55">
        <v>45432</v>
      </c>
      <c r="B70" s="50" t="s">
        <v>552</v>
      </c>
      <c r="C70" s="57"/>
      <c r="D70" s="6" t="s">
        <v>36</v>
      </c>
      <c r="E70" s="6" t="s">
        <v>146</v>
      </c>
      <c r="H70" s="20"/>
      <c r="J70" s="21">
        <v>111084</v>
      </c>
      <c r="K70" s="23" t="s">
        <v>278</v>
      </c>
      <c r="L70" s="23" t="s">
        <v>551</v>
      </c>
      <c r="M70" s="23" t="s">
        <v>67</v>
      </c>
      <c r="N70" s="23" t="s">
        <v>164</v>
      </c>
      <c r="Q70" s="6" t="s">
        <v>474</v>
      </c>
      <c r="Z70" s="6" t="s">
        <v>72</v>
      </c>
      <c r="AA70" s="6" t="s">
        <v>474</v>
      </c>
      <c r="AB70" s="27">
        <v>45546</v>
      </c>
      <c r="AC70" s="27">
        <v>45547</v>
      </c>
      <c r="AD70" s="27"/>
      <c r="AE70" s="19">
        <v>45551</v>
      </c>
      <c r="AF70" s="32" t="s">
        <v>152</v>
      </c>
      <c r="AH70" s="23" t="s">
        <v>65</v>
      </c>
      <c r="AI70" s="23" t="s">
        <v>77</v>
      </c>
      <c r="AK70" s="22">
        <v>56</v>
      </c>
      <c r="AR70" s="6">
        <v>40</v>
      </c>
      <c r="AS70" s="6">
        <v>16</v>
      </c>
      <c r="BI70" s="6"/>
      <c r="BJ70" s="6"/>
      <c r="BK70" s="6"/>
      <c r="BL70" s="6"/>
      <c r="BM70" s="6"/>
      <c r="BN70" s="6"/>
      <c r="BO70" s="6"/>
      <c r="BP70" s="6"/>
      <c r="BQ70" s="6"/>
      <c r="DX70" s="6"/>
      <c r="DY70" s="6"/>
      <c r="DZ70" s="6"/>
      <c r="EA70" s="6"/>
      <c r="EB70" s="6"/>
      <c r="EC70" s="6"/>
      <c r="ED70" s="6"/>
      <c r="EE70" s="6"/>
      <c r="EF70" s="6"/>
      <c r="EG70" s="6"/>
    </row>
    <row r="71" spans="1:137" ht="36" customHeight="1" x14ac:dyDescent="0.25">
      <c r="A71" s="55">
        <v>45448</v>
      </c>
      <c r="B71" s="50" t="s">
        <v>657</v>
      </c>
      <c r="C71" s="57"/>
      <c r="D71" s="6" t="s">
        <v>36</v>
      </c>
      <c r="E71" s="6" t="s">
        <v>146</v>
      </c>
      <c r="H71" s="20"/>
      <c r="J71" s="21">
        <v>112671</v>
      </c>
      <c r="K71" s="23" t="s">
        <v>278</v>
      </c>
      <c r="L71" s="23" t="s">
        <v>655</v>
      </c>
      <c r="M71" s="23" t="s">
        <v>656</v>
      </c>
      <c r="N71" s="23" t="s">
        <v>154</v>
      </c>
      <c r="Q71" s="6" t="s">
        <v>474</v>
      </c>
      <c r="Z71" s="6" t="s">
        <v>72</v>
      </c>
      <c r="AA71" s="6" t="s">
        <v>474</v>
      </c>
      <c r="AB71" s="27">
        <v>45546</v>
      </c>
      <c r="AC71" s="27">
        <v>45560</v>
      </c>
      <c r="AD71" s="27">
        <v>45547</v>
      </c>
      <c r="AE71" s="19">
        <v>45551</v>
      </c>
      <c r="AF71" s="32" t="s">
        <v>152</v>
      </c>
      <c r="AH71" s="23" t="s">
        <v>65</v>
      </c>
      <c r="AI71" s="23" t="s">
        <v>77</v>
      </c>
      <c r="AK71" s="22">
        <v>56</v>
      </c>
      <c r="AR71" s="6">
        <v>40</v>
      </c>
      <c r="AS71" s="6">
        <v>16</v>
      </c>
      <c r="BL71" s="6"/>
      <c r="BM71" s="6"/>
      <c r="BN71" s="6"/>
      <c r="BO71" s="6"/>
      <c r="BP71" s="6"/>
      <c r="BQ71" s="6"/>
      <c r="DX71" s="6"/>
      <c r="DY71" s="6"/>
      <c r="DZ71" s="6"/>
      <c r="EA71" s="6"/>
      <c r="EB71" s="6"/>
      <c r="EC71" s="6"/>
      <c r="ED71" s="6"/>
      <c r="EE71" s="6"/>
      <c r="EF71" s="6"/>
      <c r="EG71" s="6"/>
    </row>
    <row r="72" spans="1:137" ht="36" customHeight="1" x14ac:dyDescent="0.25">
      <c r="A72" s="55">
        <v>45448</v>
      </c>
      <c r="B72" s="50" t="s">
        <v>660</v>
      </c>
      <c r="C72" s="57"/>
      <c r="D72" s="6" t="s">
        <v>36</v>
      </c>
      <c r="E72" s="6" t="s">
        <v>146</v>
      </c>
      <c r="H72" s="20"/>
      <c r="J72" s="21">
        <v>112672</v>
      </c>
      <c r="K72" s="23" t="s">
        <v>278</v>
      </c>
      <c r="L72" s="23" t="s">
        <v>658</v>
      </c>
      <c r="M72" s="23" t="s">
        <v>659</v>
      </c>
      <c r="N72" s="23" t="s">
        <v>154</v>
      </c>
      <c r="Q72" s="6" t="s">
        <v>474</v>
      </c>
      <c r="Z72" s="6" t="s">
        <v>72</v>
      </c>
      <c r="AA72" s="6" t="s">
        <v>474</v>
      </c>
      <c r="AB72" s="27">
        <v>45546</v>
      </c>
      <c r="AC72" s="27">
        <v>45574</v>
      </c>
      <c r="AD72" s="27">
        <v>45547</v>
      </c>
      <c r="AE72" s="19">
        <v>45551</v>
      </c>
      <c r="AF72" s="32" t="s">
        <v>152</v>
      </c>
      <c r="AH72" s="23" t="s">
        <v>65</v>
      </c>
      <c r="AI72" s="23" t="s">
        <v>77</v>
      </c>
      <c r="AK72" s="22">
        <v>56</v>
      </c>
      <c r="AR72" s="6">
        <v>40</v>
      </c>
      <c r="AS72" s="6">
        <v>16</v>
      </c>
      <c r="BL72" s="6"/>
      <c r="BM72" s="6"/>
      <c r="BN72" s="6"/>
      <c r="BO72" s="6"/>
      <c r="BP72" s="6"/>
      <c r="BQ72" s="6"/>
      <c r="DX72" s="6"/>
      <c r="DY72" s="6"/>
      <c r="DZ72" s="6"/>
      <c r="EA72" s="6"/>
      <c r="EB72" s="6"/>
      <c r="EC72" s="6"/>
      <c r="ED72" s="6"/>
      <c r="EE72" s="6"/>
      <c r="EF72" s="6"/>
      <c r="EG72" s="6"/>
    </row>
    <row r="73" spans="1:137" ht="36" customHeight="1" x14ac:dyDescent="0.25">
      <c r="A73" s="55">
        <v>45468</v>
      </c>
      <c r="B73" s="50" t="s">
        <v>810</v>
      </c>
      <c r="C73" s="57"/>
      <c r="D73" s="29"/>
      <c r="E73" s="6" t="s">
        <v>153</v>
      </c>
      <c r="H73" s="20"/>
      <c r="J73" s="21">
        <v>113461</v>
      </c>
      <c r="K73" s="23" t="s">
        <v>115</v>
      </c>
      <c r="L73" s="23" t="s">
        <v>811</v>
      </c>
      <c r="M73" s="23" t="s">
        <v>812</v>
      </c>
      <c r="N73" s="23" t="s">
        <v>38</v>
      </c>
      <c r="AC73" s="27">
        <v>45548</v>
      </c>
      <c r="AD73" s="27"/>
      <c r="AE73" s="19">
        <v>45551</v>
      </c>
      <c r="AF73" s="23" t="s">
        <v>156</v>
      </c>
      <c r="AG73" s="31" t="s">
        <v>169</v>
      </c>
      <c r="AI73" s="23" t="s">
        <v>77</v>
      </c>
      <c r="AK73" s="22">
        <v>378</v>
      </c>
      <c r="AO73" s="6">
        <v>100</v>
      </c>
      <c r="AP73" s="6">
        <v>75</v>
      </c>
      <c r="AQ73" s="6">
        <f>125-7</f>
        <v>118</v>
      </c>
      <c r="AR73" s="6">
        <v>65</v>
      </c>
      <c r="AS73" s="6">
        <v>20</v>
      </c>
      <c r="BN73" s="6"/>
      <c r="BO73" s="6"/>
      <c r="BP73" s="6"/>
      <c r="BQ73" s="6"/>
      <c r="DX73" s="6"/>
      <c r="DY73" s="6"/>
      <c r="DZ73" s="6"/>
      <c r="EA73" s="6"/>
      <c r="EB73" s="6"/>
      <c r="EC73" s="6"/>
      <c r="ED73" s="6"/>
      <c r="EE73" s="6"/>
      <c r="EF73" s="6"/>
      <c r="EG73" s="6"/>
    </row>
    <row r="74" spans="1:137" ht="36" customHeight="1" x14ac:dyDescent="0.25">
      <c r="A74" s="55">
        <v>45481</v>
      </c>
      <c r="B74" s="50" t="s">
        <v>893</v>
      </c>
      <c r="C74" s="57"/>
      <c r="D74" s="29"/>
      <c r="E74" s="6" t="s">
        <v>153</v>
      </c>
      <c r="H74" s="20"/>
      <c r="J74" s="21">
        <v>113724</v>
      </c>
      <c r="K74" s="23" t="s">
        <v>102</v>
      </c>
      <c r="L74" s="23" t="s">
        <v>894</v>
      </c>
      <c r="M74" s="23">
        <v>4500336147</v>
      </c>
      <c r="N74" s="23" t="s">
        <v>38</v>
      </c>
      <c r="AC74" s="27">
        <v>45554</v>
      </c>
      <c r="AD74" s="27"/>
      <c r="AE74" s="19">
        <v>45559</v>
      </c>
      <c r="AF74" s="32" t="s">
        <v>152</v>
      </c>
      <c r="AH74" s="23" t="s">
        <v>65</v>
      </c>
      <c r="AI74" s="23" t="s">
        <v>77</v>
      </c>
      <c r="AK74" s="22">
        <v>609</v>
      </c>
      <c r="AO74" s="6">
        <v>100</v>
      </c>
      <c r="AP74" s="6">
        <v>100</v>
      </c>
      <c r="AQ74" s="6">
        <v>100</v>
      </c>
      <c r="AR74" s="6">
        <v>100</v>
      </c>
      <c r="AS74" s="6">
        <v>106</v>
      </c>
      <c r="AT74" s="6">
        <v>100</v>
      </c>
      <c r="AU74" s="6">
        <v>3</v>
      </c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</row>
    <row r="75" spans="1:137" ht="36" customHeight="1" x14ac:dyDescent="0.25">
      <c r="A75" s="55">
        <v>45481</v>
      </c>
      <c r="B75" s="50" t="s">
        <v>895</v>
      </c>
      <c r="C75" s="57"/>
      <c r="D75" s="29"/>
      <c r="E75" s="6" t="s">
        <v>153</v>
      </c>
      <c r="H75" s="20"/>
      <c r="J75" s="21">
        <v>113724</v>
      </c>
      <c r="K75" s="23" t="s">
        <v>102</v>
      </c>
      <c r="L75" s="23" t="s">
        <v>896</v>
      </c>
      <c r="M75" s="23">
        <v>4500336147</v>
      </c>
      <c r="N75" s="23" t="s">
        <v>38</v>
      </c>
      <c r="AC75" s="27">
        <v>45554</v>
      </c>
      <c r="AD75" s="27"/>
      <c r="AE75" s="19">
        <v>45559</v>
      </c>
      <c r="AF75" s="32" t="s">
        <v>152</v>
      </c>
      <c r="AH75" s="23" t="s">
        <v>65</v>
      </c>
      <c r="AI75" s="23" t="s">
        <v>77</v>
      </c>
      <c r="AK75" s="22">
        <v>200</v>
      </c>
      <c r="AP75" s="6">
        <v>50</v>
      </c>
      <c r="AQ75" s="6">
        <v>50</v>
      </c>
      <c r="AR75" s="6">
        <v>50</v>
      </c>
      <c r="AS75" s="6">
        <v>50</v>
      </c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</row>
    <row r="76" spans="1:137" ht="36" customHeight="1" x14ac:dyDescent="0.25">
      <c r="A76" s="55">
        <v>45481</v>
      </c>
      <c r="B76" s="50" t="s">
        <v>897</v>
      </c>
      <c r="C76" s="57"/>
      <c r="D76" s="29"/>
      <c r="E76" s="6" t="s">
        <v>153</v>
      </c>
      <c r="H76" s="20"/>
      <c r="J76" s="21">
        <v>113724</v>
      </c>
      <c r="K76" s="23" t="s">
        <v>102</v>
      </c>
      <c r="L76" s="23" t="s">
        <v>898</v>
      </c>
      <c r="M76" s="23">
        <v>4500336147</v>
      </c>
      <c r="N76" s="23" t="s">
        <v>38</v>
      </c>
      <c r="AC76" s="27">
        <v>45554</v>
      </c>
      <c r="AD76" s="27"/>
      <c r="AE76" s="19">
        <v>45559</v>
      </c>
      <c r="AF76" s="32" t="s">
        <v>152</v>
      </c>
      <c r="AH76" s="23" t="s">
        <v>65</v>
      </c>
      <c r="AI76" s="23" t="s">
        <v>77</v>
      </c>
      <c r="AK76" s="22">
        <v>266</v>
      </c>
      <c r="AP76" s="6">
        <v>64</v>
      </c>
      <c r="AQ76" s="6">
        <v>50</v>
      </c>
      <c r="AR76" s="6">
        <v>50</v>
      </c>
      <c r="AS76" s="6">
        <v>50</v>
      </c>
      <c r="AT76" s="6">
        <v>50</v>
      </c>
      <c r="AU76" s="6">
        <v>2</v>
      </c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</row>
    <row r="77" spans="1:137" ht="36" customHeight="1" x14ac:dyDescent="0.25">
      <c r="A77" s="55">
        <v>45481</v>
      </c>
      <c r="B77" s="21" t="s">
        <v>964</v>
      </c>
      <c r="C77" s="57"/>
      <c r="D77" s="29"/>
      <c r="E77" s="6" t="s">
        <v>153</v>
      </c>
      <c r="H77" s="20"/>
      <c r="J77" s="21">
        <v>113724</v>
      </c>
      <c r="K77" s="23" t="s">
        <v>102</v>
      </c>
      <c r="L77" s="23" t="s">
        <v>892</v>
      </c>
      <c r="M77" s="23">
        <v>4500336147</v>
      </c>
      <c r="N77" s="23" t="s">
        <v>38</v>
      </c>
      <c r="AC77" s="27">
        <v>45554</v>
      </c>
      <c r="AD77" s="27"/>
      <c r="AE77" s="19">
        <v>45559</v>
      </c>
      <c r="AF77" s="32" t="s">
        <v>152</v>
      </c>
      <c r="AH77" s="23" t="s">
        <v>65</v>
      </c>
      <c r="AI77" s="23" t="s">
        <v>77</v>
      </c>
      <c r="AK77" s="22">
        <v>198</v>
      </c>
      <c r="AQ77" s="6">
        <v>60</v>
      </c>
      <c r="AR77" s="6">
        <v>60</v>
      </c>
      <c r="AS77" s="6">
        <v>50</v>
      </c>
      <c r="AT77" s="6">
        <v>30</v>
      </c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</row>
    <row r="78" spans="1:137" ht="36" customHeight="1" x14ac:dyDescent="0.25">
      <c r="A78" s="55">
        <v>45432</v>
      </c>
      <c r="B78" s="21" t="s">
        <v>887</v>
      </c>
      <c r="C78" s="57"/>
      <c r="D78" s="6" t="s">
        <v>35</v>
      </c>
      <c r="E78" s="6" t="s">
        <v>153</v>
      </c>
      <c r="H78" s="20"/>
      <c r="J78" s="21">
        <v>106009</v>
      </c>
      <c r="K78" s="23" t="s">
        <v>115</v>
      </c>
      <c r="L78" s="23" t="s">
        <v>888</v>
      </c>
      <c r="M78" s="23" t="s">
        <v>67</v>
      </c>
      <c r="N78" s="23" t="s">
        <v>38</v>
      </c>
      <c r="Q78" s="6" t="s">
        <v>474</v>
      </c>
      <c r="Z78" s="6" t="s">
        <v>72</v>
      </c>
      <c r="AB78" s="19">
        <v>45561</v>
      </c>
      <c r="AC78" s="27">
        <v>45562</v>
      </c>
      <c r="AD78" s="27">
        <v>45559</v>
      </c>
      <c r="AE78" s="19">
        <v>45562</v>
      </c>
      <c r="AF78" s="32" t="s">
        <v>152</v>
      </c>
      <c r="AH78" s="23" t="s">
        <v>65</v>
      </c>
      <c r="AI78" s="23" t="s">
        <v>77</v>
      </c>
      <c r="AJ78" s="23" t="s">
        <v>945</v>
      </c>
      <c r="AK78" s="22">
        <v>80</v>
      </c>
      <c r="AT78" s="6">
        <v>60</v>
      </c>
      <c r="AU78" s="6">
        <v>20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</row>
    <row r="79" spans="1:137" ht="36" customHeight="1" x14ac:dyDescent="0.25">
      <c r="A79" s="55">
        <v>45467</v>
      </c>
      <c r="B79" s="50" t="s">
        <v>855</v>
      </c>
      <c r="C79" s="57" t="s">
        <v>36</v>
      </c>
      <c r="D79" s="6" t="s">
        <v>35</v>
      </c>
      <c r="E79" s="6" t="s">
        <v>153</v>
      </c>
      <c r="H79" s="20"/>
      <c r="J79" s="21">
        <v>113357</v>
      </c>
      <c r="K79" s="23" t="s">
        <v>802</v>
      </c>
      <c r="L79" s="37" t="s">
        <v>629</v>
      </c>
      <c r="M79" s="23">
        <v>5007522</v>
      </c>
      <c r="N79" s="23" t="s">
        <v>38</v>
      </c>
      <c r="Q79" s="6" t="s">
        <v>474</v>
      </c>
      <c r="Z79" s="6" t="s">
        <v>72</v>
      </c>
      <c r="AA79" s="6" t="s">
        <v>474</v>
      </c>
      <c r="AC79" s="27">
        <v>45490</v>
      </c>
      <c r="AD79" s="27">
        <v>45560</v>
      </c>
      <c r="AE79" s="19">
        <v>45565</v>
      </c>
      <c r="AF79" s="23" t="s">
        <v>160</v>
      </c>
      <c r="AG79" s="31" t="s">
        <v>169</v>
      </c>
      <c r="AH79" s="23" t="s">
        <v>65</v>
      </c>
      <c r="AI79" s="23" t="s">
        <v>77</v>
      </c>
      <c r="AK79" s="22">
        <v>20</v>
      </c>
      <c r="AU79" s="6">
        <v>20</v>
      </c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</row>
    <row r="80" spans="1:137" ht="36" customHeight="1" x14ac:dyDescent="0.25">
      <c r="A80" s="55">
        <v>45474</v>
      </c>
      <c r="B80" s="58" t="s">
        <v>856</v>
      </c>
      <c r="C80" s="57" t="s">
        <v>36</v>
      </c>
      <c r="D80" s="6" t="s">
        <v>35</v>
      </c>
      <c r="E80" s="6" t="s">
        <v>153</v>
      </c>
      <c r="G80" s="6" t="s">
        <v>163</v>
      </c>
      <c r="H80" s="20"/>
      <c r="J80" s="21">
        <v>113357</v>
      </c>
      <c r="K80" s="23" t="s">
        <v>802</v>
      </c>
      <c r="L80" s="37" t="s">
        <v>857</v>
      </c>
      <c r="M80" s="23">
        <v>5007522</v>
      </c>
      <c r="N80" s="23" t="s">
        <v>38</v>
      </c>
      <c r="Q80" s="6" t="s">
        <v>474</v>
      </c>
      <c r="R80" s="19">
        <v>45481</v>
      </c>
      <c r="S80" s="19">
        <v>45489</v>
      </c>
      <c r="T80" s="19">
        <v>45489</v>
      </c>
      <c r="U80" s="19">
        <v>45489</v>
      </c>
      <c r="V80" s="19">
        <f>+U80</f>
        <v>45489</v>
      </c>
      <c r="W80" s="19">
        <v>45490</v>
      </c>
      <c r="X80" s="19">
        <v>45491</v>
      </c>
      <c r="Z80" s="6" t="s">
        <v>72</v>
      </c>
      <c r="AA80" s="6" t="s">
        <v>474</v>
      </c>
      <c r="AC80" s="27">
        <v>45490</v>
      </c>
      <c r="AD80" s="27">
        <v>45560</v>
      </c>
      <c r="AE80" s="19">
        <v>45565</v>
      </c>
      <c r="AF80" s="23" t="s">
        <v>149</v>
      </c>
      <c r="AG80" s="23" t="s">
        <v>165</v>
      </c>
      <c r="AH80" s="30" t="s">
        <v>78</v>
      </c>
      <c r="AI80" s="23" t="s">
        <v>69</v>
      </c>
      <c r="AJ80" s="54" t="s">
        <v>1065</v>
      </c>
      <c r="AK80" s="22">
        <v>25</v>
      </c>
      <c r="AL80" s="6">
        <v>2</v>
      </c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</row>
    <row r="81" spans="1:137" ht="36" customHeight="1" x14ac:dyDescent="0.25">
      <c r="A81" s="55">
        <v>45425</v>
      </c>
      <c r="B81" s="50" t="s">
        <v>276</v>
      </c>
      <c r="C81" s="57" t="s">
        <v>35</v>
      </c>
      <c r="D81" s="6" t="s">
        <v>36</v>
      </c>
      <c r="E81" s="6" t="s">
        <v>146</v>
      </c>
      <c r="F81" s="6" t="s">
        <v>141</v>
      </c>
      <c r="G81" s="6" t="s">
        <v>157</v>
      </c>
      <c r="H81" s="20"/>
      <c r="J81" s="21">
        <v>111804</v>
      </c>
      <c r="K81" s="23" t="s">
        <v>280</v>
      </c>
      <c r="L81" s="23" t="s">
        <v>914</v>
      </c>
      <c r="M81" s="23" t="s">
        <v>277</v>
      </c>
      <c r="N81" s="23" t="s">
        <v>38</v>
      </c>
      <c r="Q81" s="48" t="s">
        <v>904</v>
      </c>
      <c r="R81" s="19">
        <v>45476</v>
      </c>
      <c r="S81" s="19">
        <v>45483</v>
      </c>
      <c r="T81" s="19">
        <v>45491</v>
      </c>
      <c r="U81" s="19">
        <v>45502</v>
      </c>
      <c r="V81" s="19">
        <f>+U81</f>
        <v>45502</v>
      </c>
      <c r="W81" s="19">
        <v>45511</v>
      </c>
      <c r="X81" s="19">
        <v>45520</v>
      </c>
      <c r="Z81" s="6" t="s">
        <v>57</v>
      </c>
      <c r="AA81" s="19">
        <v>45560</v>
      </c>
      <c r="AB81" s="19">
        <v>45525</v>
      </c>
      <c r="AC81" s="27">
        <v>45503</v>
      </c>
      <c r="AD81" s="27">
        <v>45562</v>
      </c>
      <c r="AE81" s="19">
        <v>45565</v>
      </c>
      <c r="AF81" s="23" t="s">
        <v>149</v>
      </c>
      <c r="AG81" s="23" t="s">
        <v>165</v>
      </c>
      <c r="AH81" s="30" t="s">
        <v>78</v>
      </c>
      <c r="AI81" s="23" t="s">
        <v>69</v>
      </c>
      <c r="AJ81" s="37"/>
      <c r="AK81" s="22">
        <v>406</v>
      </c>
      <c r="AL81" s="6">
        <v>85</v>
      </c>
      <c r="AM81" s="6">
        <v>75</v>
      </c>
      <c r="AN81" s="6">
        <v>55</v>
      </c>
      <c r="AO81" s="6">
        <v>60</v>
      </c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</row>
    <row r="82" spans="1:137" ht="36" customHeight="1" x14ac:dyDescent="0.25">
      <c r="A82" s="55">
        <v>45474</v>
      </c>
      <c r="B82" s="50" t="s">
        <v>867</v>
      </c>
      <c r="C82" s="57"/>
      <c r="D82" s="29"/>
      <c r="E82" s="6" t="s">
        <v>140</v>
      </c>
      <c r="H82" s="20"/>
      <c r="J82" s="21">
        <v>113619</v>
      </c>
      <c r="K82" s="23" t="s">
        <v>866</v>
      </c>
      <c r="L82" s="23" t="s">
        <v>1059</v>
      </c>
      <c r="M82" s="23">
        <v>1124810</v>
      </c>
      <c r="N82" s="23" t="s">
        <v>38</v>
      </c>
      <c r="AC82" s="27">
        <v>45565</v>
      </c>
      <c r="AD82" s="27"/>
      <c r="AE82" s="19">
        <v>45566</v>
      </c>
      <c r="AF82" s="32" t="s">
        <v>152</v>
      </c>
      <c r="AH82" s="23" t="s">
        <v>82</v>
      </c>
      <c r="AI82" s="23" t="s">
        <v>77</v>
      </c>
      <c r="AJ82" s="23" t="s">
        <v>957</v>
      </c>
      <c r="AK82" s="22">
        <v>1966</v>
      </c>
      <c r="AL82" s="6">
        <v>45</v>
      </c>
      <c r="AM82" s="6">
        <v>125</v>
      </c>
      <c r="AN82" s="6">
        <v>150</v>
      </c>
      <c r="AO82" s="6">
        <v>150</v>
      </c>
      <c r="AP82" s="6">
        <v>200</v>
      </c>
      <c r="AQ82" s="6">
        <v>300</v>
      </c>
      <c r="AR82" s="6">
        <v>150</v>
      </c>
      <c r="AS82" s="6">
        <v>300</v>
      </c>
      <c r="AT82" s="6">
        <v>296</v>
      </c>
      <c r="AU82" s="6">
        <v>200</v>
      </c>
      <c r="AV82" s="6">
        <v>50</v>
      </c>
      <c r="AY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</row>
    <row r="83" spans="1:137" ht="36" customHeight="1" x14ac:dyDescent="0.25">
      <c r="A83" s="55">
        <v>45490</v>
      </c>
      <c r="B83" s="50" t="s">
        <v>1040</v>
      </c>
      <c r="C83" s="57"/>
      <c r="D83" s="29"/>
      <c r="E83" s="6" t="s">
        <v>140</v>
      </c>
      <c r="H83" s="20"/>
      <c r="J83" s="21">
        <v>123456</v>
      </c>
      <c r="K83" s="23" t="s">
        <v>866</v>
      </c>
      <c r="L83" s="23" t="s">
        <v>1041</v>
      </c>
      <c r="M83" s="23" t="s">
        <v>67</v>
      </c>
      <c r="N83" s="23" t="s">
        <v>38</v>
      </c>
      <c r="AC83" s="27">
        <v>45565</v>
      </c>
      <c r="AD83" s="27"/>
      <c r="AE83" s="19">
        <v>45566</v>
      </c>
      <c r="AF83" s="32" t="s">
        <v>152</v>
      </c>
      <c r="AH83" s="23" t="s">
        <v>65</v>
      </c>
      <c r="AI83" s="23" t="s">
        <v>77</v>
      </c>
      <c r="AK83" s="22">
        <v>1250</v>
      </c>
      <c r="AN83" s="6">
        <v>200</v>
      </c>
      <c r="AO83" s="6">
        <v>200</v>
      </c>
      <c r="AP83" s="6">
        <v>200</v>
      </c>
      <c r="AQ83" s="6">
        <v>150</v>
      </c>
      <c r="AR83" s="6">
        <v>150</v>
      </c>
      <c r="AS83" s="6">
        <v>150</v>
      </c>
      <c r="AT83" s="6">
        <v>150</v>
      </c>
      <c r="AU83" s="6">
        <v>50</v>
      </c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</row>
    <row r="84" spans="1:137" ht="36" customHeight="1" x14ac:dyDescent="0.25">
      <c r="A84" s="55">
        <v>45443</v>
      </c>
      <c r="B84" s="50" t="s">
        <v>633</v>
      </c>
      <c r="C84" s="57" t="s">
        <v>35</v>
      </c>
      <c r="D84" s="6" t="s">
        <v>35</v>
      </c>
      <c r="E84" s="6" t="s">
        <v>146</v>
      </c>
      <c r="G84" s="6" t="s">
        <v>163</v>
      </c>
      <c r="H84" s="20"/>
      <c r="J84" s="21">
        <v>112542</v>
      </c>
      <c r="K84" s="23" t="s">
        <v>123</v>
      </c>
      <c r="L84" s="23" t="s">
        <v>858</v>
      </c>
      <c r="M84" s="23" t="s">
        <v>67</v>
      </c>
      <c r="N84" s="23" t="s">
        <v>143</v>
      </c>
      <c r="Q84" s="37" t="s">
        <v>832</v>
      </c>
      <c r="R84" s="28" t="s">
        <v>789</v>
      </c>
      <c r="S84" s="19">
        <v>45468</v>
      </c>
      <c r="T84" s="19">
        <v>45523</v>
      </c>
      <c r="U84" s="19">
        <v>45582</v>
      </c>
      <c r="V84" s="33">
        <f>+U84</f>
        <v>45582</v>
      </c>
      <c r="W84" s="33">
        <v>45643</v>
      </c>
      <c r="X84" s="33">
        <v>45702</v>
      </c>
      <c r="Z84" s="6" t="s">
        <v>72</v>
      </c>
      <c r="AB84" s="19">
        <v>45562</v>
      </c>
      <c r="AC84" s="27">
        <v>45565</v>
      </c>
      <c r="AD84" s="27"/>
      <c r="AE84" s="19">
        <v>45566</v>
      </c>
      <c r="AF84" s="23" t="s">
        <v>149</v>
      </c>
      <c r="AG84" s="23" t="s">
        <v>803</v>
      </c>
      <c r="AH84" s="23" t="s">
        <v>82</v>
      </c>
      <c r="AI84" s="23" t="s">
        <v>59</v>
      </c>
      <c r="AJ84" s="23" t="s">
        <v>974</v>
      </c>
      <c r="AK84" s="22">
        <v>2406</v>
      </c>
      <c r="AL84" s="6">
        <v>250</v>
      </c>
      <c r="AM84" s="6">
        <v>150</v>
      </c>
      <c r="AN84" s="6">
        <v>150</v>
      </c>
      <c r="AO84" s="6">
        <v>150</v>
      </c>
      <c r="AP84" s="6">
        <v>150</v>
      </c>
      <c r="AQ84" s="6">
        <v>150</v>
      </c>
      <c r="AR84" s="6">
        <v>150</v>
      </c>
      <c r="AS84" s="6">
        <v>150</v>
      </c>
      <c r="AT84" s="6">
        <v>150</v>
      </c>
      <c r="AU84" s="6">
        <v>100</v>
      </c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</row>
    <row r="85" spans="1:137" ht="36" customHeight="1" x14ac:dyDescent="0.25">
      <c r="A85" s="55">
        <v>45443</v>
      </c>
      <c r="B85" s="21" t="s">
        <v>634</v>
      </c>
      <c r="C85" s="57"/>
      <c r="D85" s="6" t="s">
        <v>35</v>
      </c>
      <c r="E85" s="6" t="s">
        <v>146</v>
      </c>
      <c r="G85" s="6" t="s">
        <v>163</v>
      </c>
      <c r="H85" s="20"/>
      <c r="J85" s="21">
        <v>112543</v>
      </c>
      <c r="K85" s="23" t="s">
        <v>123</v>
      </c>
      <c r="L85" s="23" t="s">
        <v>929</v>
      </c>
      <c r="M85" s="23" t="s">
        <v>67</v>
      </c>
      <c r="N85" s="23" t="s">
        <v>143</v>
      </c>
      <c r="Q85" s="37" t="s">
        <v>832</v>
      </c>
      <c r="R85" s="19">
        <v>45525</v>
      </c>
      <c r="Z85" s="6" t="s">
        <v>72</v>
      </c>
      <c r="AB85" s="19">
        <v>45562</v>
      </c>
      <c r="AC85" s="27">
        <v>45565</v>
      </c>
      <c r="AD85" s="27"/>
      <c r="AE85" s="19">
        <v>45566</v>
      </c>
      <c r="AF85" s="23" t="s">
        <v>149</v>
      </c>
      <c r="AG85" s="23" t="s">
        <v>165</v>
      </c>
      <c r="AH85" s="30" t="s">
        <v>78</v>
      </c>
      <c r="AI85" s="23" t="s">
        <v>59</v>
      </c>
      <c r="AK85" s="22">
        <v>139</v>
      </c>
      <c r="AN85" s="6">
        <v>40</v>
      </c>
      <c r="AO85" s="6">
        <v>50</v>
      </c>
      <c r="AP85" s="6">
        <v>49</v>
      </c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</row>
    <row r="86" spans="1:137" ht="36" customHeight="1" x14ac:dyDescent="0.25">
      <c r="A86" s="55">
        <v>45460</v>
      </c>
      <c r="B86" s="21" t="s">
        <v>821</v>
      </c>
      <c r="C86" s="57"/>
      <c r="D86" s="6" t="s">
        <v>35</v>
      </c>
      <c r="E86" s="6" t="s">
        <v>146</v>
      </c>
      <c r="H86" s="20"/>
      <c r="J86" s="21">
        <v>111683</v>
      </c>
      <c r="K86" s="23" t="s">
        <v>252</v>
      </c>
      <c r="L86" s="23" t="s">
        <v>775</v>
      </c>
      <c r="M86" s="23" t="s">
        <v>253</v>
      </c>
      <c r="N86" s="23" t="s">
        <v>38</v>
      </c>
      <c r="Q86" s="23" t="s">
        <v>755</v>
      </c>
      <c r="R86" s="28" t="s">
        <v>748</v>
      </c>
      <c r="S86" s="19">
        <v>45470</v>
      </c>
      <c r="T86" s="19">
        <v>45485</v>
      </c>
      <c r="U86" s="19">
        <v>45497</v>
      </c>
      <c r="V86" s="19">
        <f>+U86</f>
        <v>45497</v>
      </c>
      <c r="W86" s="19">
        <v>45509</v>
      </c>
      <c r="X86" s="19">
        <v>45520</v>
      </c>
      <c r="Z86" s="6" t="s">
        <v>67</v>
      </c>
      <c r="AA86" s="19">
        <v>45538</v>
      </c>
      <c r="AB86" s="19">
        <v>45567</v>
      </c>
      <c r="AC86" s="27">
        <v>45568</v>
      </c>
      <c r="AD86" s="27"/>
      <c r="AE86" s="19">
        <v>45573</v>
      </c>
      <c r="AF86" s="23" t="s">
        <v>149</v>
      </c>
      <c r="AG86" s="23" t="s">
        <v>165</v>
      </c>
      <c r="AH86" s="23" t="s">
        <v>82</v>
      </c>
      <c r="AI86" s="23" t="s">
        <v>69</v>
      </c>
      <c r="AJ86" s="46"/>
      <c r="AK86" s="22">
        <v>480</v>
      </c>
      <c r="AL86" s="6">
        <v>80</v>
      </c>
      <c r="AM86" s="6">
        <v>80</v>
      </c>
      <c r="AN86" s="6">
        <v>10</v>
      </c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</row>
    <row r="87" spans="1:137" ht="36" customHeight="1" x14ac:dyDescent="0.25">
      <c r="A87" s="55">
        <v>45462</v>
      </c>
      <c r="B87" s="50" t="s">
        <v>781</v>
      </c>
      <c r="C87" s="57"/>
      <c r="D87" s="6" t="s">
        <v>36</v>
      </c>
      <c r="E87" s="6" t="s">
        <v>146</v>
      </c>
      <c r="H87" s="20"/>
      <c r="J87" s="21" t="s">
        <v>788</v>
      </c>
      <c r="K87" s="23" t="s">
        <v>278</v>
      </c>
      <c r="L87" s="23" t="s">
        <v>551</v>
      </c>
      <c r="M87" s="23" t="s">
        <v>780</v>
      </c>
      <c r="N87" s="23" t="s">
        <v>164</v>
      </c>
      <c r="Q87" s="6" t="s">
        <v>474</v>
      </c>
      <c r="Y87" s="6" t="s">
        <v>474</v>
      </c>
      <c r="Z87" s="6" t="s">
        <v>72</v>
      </c>
      <c r="AA87" s="6" t="s">
        <v>474</v>
      </c>
      <c r="AB87" s="19">
        <v>45567</v>
      </c>
      <c r="AC87" s="27">
        <v>45568</v>
      </c>
      <c r="AD87" s="27"/>
      <c r="AE87" s="19">
        <v>45572</v>
      </c>
      <c r="AF87" s="23" t="s">
        <v>160</v>
      </c>
      <c r="AG87" s="31" t="s">
        <v>169</v>
      </c>
      <c r="AH87" s="23" t="s">
        <v>65</v>
      </c>
      <c r="AI87" s="23" t="s">
        <v>77</v>
      </c>
      <c r="AK87" s="22">
        <v>56</v>
      </c>
      <c r="AU87" s="6">
        <v>40</v>
      </c>
      <c r="AV87" s="6">
        <v>16</v>
      </c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</row>
    <row r="88" spans="1:137" ht="36" customHeight="1" x14ac:dyDescent="0.25">
      <c r="A88" s="55">
        <v>45460</v>
      </c>
      <c r="B88" s="50" t="s">
        <v>822</v>
      </c>
      <c r="C88" s="57"/>
      <c r="D88" s="6" t="s">
        <v>36</v>
      </c>
      <c r="E88" s="6" t="s">
        <v>146</v>
      </c>
      <c r="H88" s="20"/>
      <c r="J88" s="21">
        <v>111720</v>
      </c>
      <c r="K88" s="23" t="s">
        <v>252</v>
      </c>
      <c r="L88" s="23" t="s">
        <v>845</v>
      </c>
      <c r="M88" s="23" t="s">
        <v>258</v>
      </c>
      <c r="N88" s="23" t="s">
        <v>38</v>
      </c>
      <c r="Q88" s="23" t="s">
        <v>711</v>
      </c>
      <c r="R88" s="19" t="s">
        <v>624</v>
      </c>
      <c r="S88" s="19">
        <v>45470</v>
      </c>
      <c r="T88" s="19">
        <v>45471</v>
      </c>
      <c r="U88" s="19">
        <v>45470</v>
      </c>
      <c r="V88" s="19">
        <f>+U88</f>
        <v>45470</v>
      </c>
      <c r="W88" s="19">
        <v>45474</v>
      </c>
      <c r="X88" s="19">
        <v>45475</v>
      </c>
      <c r="Z88" s="6" t="s">
        <v>67</v>
      </c>
      <c r="AA88" s="19">
        <v>45545</v>
      </c>
      <c r="AB88" s="19">
        <v>45567</v>
      </c>
      <c r="AC88" s="27">
        <v>45568</v>
      </c>
      <c r="AD88" s="27"/>
      <c r="AE88" s="19">
        <v>45573</v>
      </c>
      <c r="AF88" s="23" t="s">
        <v>149</v>
      </c>
      <c r="AG88" s="23" t="s">
        <v>165</v>
      </c>
      <c r="AH88" s="30" t="s">
        <v>78</v>
      </c>
      <c r="AI88" s="23" t="s">
        <v>85</v>
      </c>
      <c r="AJ88" s="46"/>
      <c r="AK88" s="22">
        <v>50</v>
      </c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</row>
    <row r="89" spans="1:137" ht="36" customHeight="1" x14ac:dyDescent="0.25">
      <c r="A89" s="55">
        <v>45432</v>
      </c>
      <c r="B89" s="50" t="s">
        <v>530</v>
      </c>
      <c r="C89" s="57"/>
      <c r="D89" s="6" t="s">
        <v>36</v>
      </c>
      <c r="E89" s="6" t="s">
        <v>146</v>
      </c>
      <c r="H89" s="20"/>
      <c r="J89" s="21">
        <v>109648</v>
      </c>
      <c r="K89" s="23" t="s">
        <v>529</v>
      </c>
      <c r="L89" s="23" t="s">
        <v>531</v>
      </c>
      <c r="M89" s="23" t="s">
        <v>532</v>
      </c>
      <c r="N89" s="23" t="s">
        <v>38</v>
      </c>
      <c r="AB89" s="27">
        <v>45541</v>
      </c>
      <c r="AC89" s="27">
        <v>45467</v>
      </c>
      <c r="AD89" s="27">
        <v>45572</v>
      </c>
      <c r="AE89" s="19">
        <v>45572</v>
      </c>
      <c r="AF89" s="32" t="s">
        <v>152</v>
      </c>
      <c r="AH89" s="23" t="s">
        <v>65</v>
      </c>
      <c r="AI89" s="23" t="s">
        <v>77</v>
      </c>
      <c r="AJ89" s="23" t="s">
        <v>93</v>
      </c>
      <c r="AK89" s="22">
        <v>692</v>
      </c>
      <c r="AL89" s="38"/>
      <c r="AM89" s="38"/>
      <c r="AN89" s="38"/>
      <c r="AO89" s="38"/>
      <c r="AP89" s="38"/>
      <c r="AQ89" s="38">
        <f>125-8</f>
        <v>117</v>
      </c>
      <c r="AR89" s="38">
        <v>100</v>
      </c>
      <c r="AS89" s="6">
        <v>125</v>
      </c>
      <c r="AT89" s="6">
        <v>100</v>
      </c>
      <c r="AU89" s="6">
        <v>150</v>
      </c>
      <c r="AV89" s="6">
        <v>100</v>
      </c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</row>
    <row r="90" spans="1:137" ht="36" customHeight="1" x14ac:dyDescent="0.25">
      <c r="A90" s="55">
        <v>45432</v>
      </c>
      <c r="B90" s="50" t="s">
        <v>540</v>
      </c>
      <c r="C90" s="57"/>
      <c r="D90" s="6" t="s">
        <v>35</v>
      </c>
      <c r="E90" s="6" t="s">
        <v>153</v>
      </c>
      <c r="G90" s="6" t="s">
        <v>163</v>
      </c>
      <c r="H90" s="20"/>
      <c r="J90" s="21">
        <v>107127</v>
      </c>
      <c r="K90" s="23" t="s">
        <v>495</v>
      </c>
      <c r="L90" s="23" t="s">
        <v>541</v>
      </c>
      <c r="M90" s="23" t="s">
        <v>67</v>
      </c>
      <c r="N90" s="23" t="s">
        <v>38</v>
      </c>
      <c r="Q90" s="23" t="s">
        <v>971</v>
      </c>
      <c r="R90" s="19">
        <v>45489</v>
      </c>
      <c r="S90" s="19">
        <v>45491</v>
      </c>
      <c r="T90" s="19">
        <v>45512</v>
      </c>
      <c r="U90" s="19">
        <v>45526</v>
      </c>
      <c r="V90" s="19">
        <f>+U90</f>
        <v>45526</v>
      </c>
      <c r="W90" s="19">
        <v>45539</v>
      </c>
      <c r="X90" s="19">
        <v>45567</v>
      </c>
      <c r="Z90" s="6" t="s">
        <v>67</v>
      </c>
      <c r="AB90" s="27">
        <v>45533</v>
      </c>
      <c r="AC90" s="27">
        <v>45534</v>
      </c>
      <c r="AD90" s="27">
        <v>45572</v>
      </c>
      <c r="AE90" s="19">
        <v>45574</v>
      </c>
      <c r="AF90" s="23" t="s">
        <v>149</v>
      </c>
      <c r="AG90" s="23" t="s">
        <v>165</v>
      </c>
      <c r="AH90" s="30" t="s">
        <v>78</v>
      </c>
      <c r="AI90" s="23" t="s">
        <v>59</v>
      </c>
      <c r="AK90" s="22">
        <v>1385</v>
      </c>
      <c r="AL90" s="6">
        <v>100</v>
      </c>
      <c r="AM90" s="6">
        <v>150</v>
      </c>
      <c r="AN90" s="6">
        <v>150</v>
      </c>
      <c r="AO90" s="6">
        <v>150</v>
      </c>
      <c r="AP90" s="6">
        <v>150</v>
      </c>
      <c r="AQ90" s="6">
        <v>125</v>
      </c>
      <c r="AR90" s="6">
        <v>125</v>
      </c>
      <c r="AS90" s="6">
        <v>125</v>
      </c>
      <c r="AT90" s="6">
        <v>100</v>
      </c>
      <c r="AU90" s="6">
        <v>105</v>
      </c>
      <c r="AV90" s="6">
        <v>105</v>
      </c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</row>
    <row r="91" spans="1:137" ht="36" customHeight="1" x14ac:dyDescent="0.25">
      <c r="A91" s="55">
        <v>45456</v>
      </c>
      <c r="B91" s="50" t="s">
        <v>736</v>
      </c>
      <c r="C91" s="57"/>
      <c r="D91" s="6" t="s">
        <v>36</v>
      </c>
      <c r="E91" s="6" t="s">
        <v>146</v>
      </c>
      <c r="G91" s="6" t="s">
        <v>163</v>
      </c>
      <c r="H91" s="20"/>
      <c r="J91" s="21">
        <v>112981</v>
      </c>
      <c r="K91" s="23" t="s">
        <v>278</v>
      </c>
      <c r="L91" s="23" t="s">
        <v>735</v>
      </c>
      <c r="M91" s="23" t="s">
        <v>731</v>
      </c>
      <c r="N91" s="23" t="s">
        <v>154</v>
      </c>
      <c r="Q91" s="6" t="s">
        <v>474</v>
      </c>
      <c r="R91" s="19">
        <v>45490</v>
      </c>
      <c r="Z91" s="6" t="s">
        <v>72</v>
      </c>
      <c r="AA91" s="6" t="s">
        <v>474</v>
      </c>
      <c r="AB91" s="19">
        <v>45574</v>
      </c>
      <c r="AC91" s="27">
        <v>45575</v>
      </c>
      <c r="AD91" s="27"/>
      <c r="AE91" s="19">
        <v>45579</v>
      </c>
      <c r="AF91" s="32" t="s">
        <v>152</v>
      </c>
      <c r="AH91" s="23" t="s">
        <v>65</v>
      </c>
      <c r="AI91" s="23" t="s">
        <v>77</v>
      </c>
      <c r="AK91" s="22">
        <v>56</v>
      </c>
      <c r="AU91" s="6">
        <v>40</v>
      </c>
      <c r="AV91" s="6">
        <v>16</v>
      </c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</row>
    <row r="92" spans="1:137" ht="36" customHeight="1" x14ac:dyDescent="0.25">
      <c r="A92" s="55">
        <v>45456</v>
      </c>
      <c r="B92" s="50" t="s">
        <v>738</v>
      </c>
      <c r="C92" s="57"/>
      <c r="D92" s="6" t="s">
        <v>36</v>
      </c>
      <c r="E92" s="6" t="s">
        <v>146</v>
      </c>
      <c r="G92" s="6" t="s">
        <v>163</v>
      </c>
      <c r="H92" s="20"/>
      <c r="J92" s="21">
        <v>112982</v>
      </c>
      <c r="K92" s="23" t="s">
        <v>278</v>
      </c>
      <c r="L92" s="23" t="s">
        <v>737</v>
      </c>
      <c r="M92" s="23" t="s">
        <v>731</v>
      </c>
      <c r="N92" s="23" t="s">
        <v>154</v>
      </c>
      <c r="Q92" s="6" t="s">
        <v>474</v>
      </c>
      <c r="R92" s="19">
        <v>45490</v>
      </c>
      <c r="Z92" s="6" t="s">
        <v>72</v>
      </c>
      <c r="AA92" s="6" t="s">
        <v>474</v>
      </c>
      <c r="AB92" s="19">
        <v>45574</v>
      </c>
      <c r="AC92" s="27">
        <v>45575</v>
      </c>
      <c r="AD92" s="27"/>
      <c r="AE92" s="19">
        <v>45579</v>
      </c>
      <c r="AF92" s="32" t="s">
        <v>152</v>
      </c>
      <c r="AH92" s="23" t="s">
        <v>65</v>
      </c>
      <c r="AI92" s="23" t="s">
        <v>77</v>
      </c>
      <c r="AK92" s="22">
        <v>56</v>
      </c>
      <c r="AV92" s="6">
        <v>40</v>
      </c>
      <c r="AW92" s="6">
        <v>16</v>
      </c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</row>
    <row r="93" spans="1:137" ht="36" customHeight="1" x14ac:dyDescent="0.25">
      <c r="A93" s="55">
        <v>45432</v>
      </c>
      <c r="B93" s="50" t="s">
        <v>542</v>
      </c>
      <c r="C93" s="57"/>
      <c r="D93" s="6" t="s">
        <v>36</v>
      </c>
      <c r="E93" s="6" t="s">
        <v>146</v>
      </c>
      <c r="G93" s="6" t="s">
        <v>163</v>
      </c>
      <c r="H93" s="20"/>
      <c r="J93" s="21">
        <v>111067</v>
      </c>
      <c r="K93" s="23" t="s">
        <v>278</v>
      </c>
      <c r="L93" s="23" t="s">
        <v>535</v>
      </c>
      <c r="M93" s="23" t="s">
        <v>67</v>
      </c>
      <c r="N93" s="23" t="s">
        <v>164</v>
      </c>
      <c r="Q93" s="6" t="s">
        <v>474</v>
      </c>
      <c r="Z93" s="6" t="s">
        <v>72</v>
      </c>
      <c r="AA93" s="6" t="s">
        <v>474</v>
      </c>
      <c r="AB93" s="19">
        <v>45574</v>
      </c>
      <c r="AC93" s="27">
        <v>45519</v>
      </c>
      <c r="AD93" s="27">
        <v>45575</v>
      </c>
      <c r="AE93" s="19">
        <v>45579</v>
      </c>
      <c r="AF93" s="32" t="s">
        <v>152</v>
      </c>
      <c r="AH93" s="23" t="s">
        <v>82</v>
      </c>
      <c r="AI93" s="23" t="s">
        <v>77</v>
      </c>
      <c r="AK93" s="22">
        <v>192</v>
      </c>
      <c r="AT93" s="6">
        <v>40</v>
      </c>
      <c r="AU93" s="6">
        <v>60</v>
      </c>
      <c r="AV93" s="6">
        <v>60</v>
      </c>
      <c r="AW93" s="6">
        <v>2</v>
      </c>
      <c r="BI93" s="6"/>
      <c r="BJ93" s="6"/>
      <c r="BK93" s="6"/>
      <c r="BL93" s="6"/>
      <c r="BM93" s="6"/>
      <c r="BN93" s="6"/>
      <c r="BO93" s="6"/>
      <c r="BP93" s="6"/>
      <c r="BQ93" s="6"/>
      <c r="DX93" s="6"/>
      <c r="DY93" s="6"/>
      <c r="DZ93" s="6"/>
      <c r="EA93" s="6"/>
      <c r="EB93" s="6"/>
      <c r="EC93" s="6"/>
      <c r="ED93" s="6"/>
      <c r="EE93" s="6"/>
      <c r="EF93" s="6"/>
      <c r="EG93" s="6"/>
    </row>
    <row r="94" spans="1:137" ht="36" customHeight="1" x14ac:dyDescent="0.25">
      <c r="A94" s="55">
        <v>45448</v>
      </c>
      <c r="B94" s="50" t="s">
        <v>663</v>
      </c>
      <c r="C94" s="57"/>
      <c r="D94" s="6" t="s">
        <v>36</v>
      </c>
      <c r="E94" s="6" t="s">
        <v>146</v>
      </c>
      <c r="H94" s="20"/>
      <c r="J94" s="21">
        <v>112673</v>
      </c>
      <c r="K94" s="23" t="s">
        <v>278</v>
      </c>
      <c r="L94" s="23" t="s">
        <v>661</v>
      </c>
      <c r="M94" s="23" t="s">
        <v>662</v>
      </c>
      <c r="N94" s="23" t="s">
        <v>154</v>
      </c>
      <c r="Q94" s="6" t="s">
        <v>474</v>
      </c>
      <c r="Z94" s="6" t="s">
        <v>72</v>
      </c>
      <c r="AA94" s="6" t="s">
        <v>474</v>
      </c>
      <c r="AB94" s="19">
        <v>45574</v>
      </c>
      <c r="AC94" s="27">
        <v>45588</v>
      </c>
      <c r="AD94" s="27">
        <v>45575</v>
      </c>
      <c r="AE94" s="19">
        <v>45579</v>
      </c>
      <c r="AF94" s="32" t="s">
        <v>152</v>
      </c>
      <c r="AH94" s="23" t="s">
        <v>65</v>
      </c>
      <c r="AI94" s="23" t="s">
        <v>77</v>
      </c>
      <c r="AK94" s="22">
        <v>56</v>
      </c>
      <c r="AV94" s="6">
        <v>40</v>
      </c>
      <c r="AW94" s="6">
        <v>16</v>
      </c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</row>
    <row r="95" spans="1:137" ht="36" customHeight="1" x14ac:dyDescent="0.25">
      <c r="A95" s="55">
        <v>45448</v>
      </c>
      <c r="B95" s="50" t="s">
        <v>666</v>
      </c>
      <c r="C95" s="57"/>
      <c r="D95" s="6" t="s">
        <v>36</v>
      </c>
      <c r="E95" s="6" t="s">
        <v>146</v>
      </c>
      <c r="H95" s="20"/>
      <c r="J95" s="21">
        <v>112674</v>
      </c>
      <c r="K95" s="23" t="s">
        <v>278</v>
      </c>
      <c r="L95" s="23" t="s">
        <v>664</v>
      </c>
      <c r="M95" s="23" t="s">
        <v>665</v>
      </c>
      <c r="N95" s="23" t="s">
        <v>154</v>
      </c>
      <c r="Q95" s="6" t="s">
        <v>474</v>
      </c>
      <c r="Z95" s="6" t="s">
        <v>72</v>
      </c>
      <c r="AA95" s="6" t="s">
        <v>474</v>
      </c>
      <c r="AB95" s="19">
        <v>45574</v>
      </c>
      <c r="AC95" s="27">
        <v>45602</v>
      </c>
      <c r="AD95" s="27">
        <v>45575</v>
      </c>
      <c r="AE95" s="19">
        <v>45579</v>
      </c>
      <c r="AF95" s="32" t="s">
        <v>152</v>
      </c>
      <c r="AH95" s="23" t="s">
        <v>65</v>
      </c>
      <c r="AI95" s="23" t="s">
        <v>77</v>
      </c>
      <c r="AK95" s="22">
        <v>56</v>
      </c>
      <c r="AV95" s="6">
        <v>40</v>
      </c>
      <c r="AW95" s="6">
        <v>16</v>
      </c>
      <c r="BL95" s="6"/>
      <c r="BM95" s="6"/>
      <c r="BN95" s="6"/>
      <c r="BO95" s="6"/>
      <c r="BP95" s="6"/>
      <c r="BQ95" s="6"/>
      <c r="DX95" s="6"/>
      <c r="DY95" s="6"/>
      <c r="DZ95" s="6"/>
      <c r="EA95" s="6"/>
      <c r="EB95" s="6"/>
      <c r="EC95" s="6"/>
      <c r="ED95" s="6"/>
      <c r="EE95" s="6"/>
      <c r="EF95" s="6"/>
      <c r="EG95" s="6"/>
    </row>
    <row r="96" spans="1:137" ht="36" customHeight="1" x14ac:dyDescent="0.25">
      <c r="A96" s="55">
        <v>45432</v>
      </c>
      <c r="B96" s="50" t="s">
        <v>500</v>
      </c>
      <c r="C96" s="57"/>
      <c r="D96" s="6" t="s">
        <v>36</v>
      </c>
      <c r="E96" s="6" t="s">
        <v>140</v>
      </c>
      <c r="G96" s="6" t="s">
        <v>142</v>
      </c>
      <c r="H96" s="20"/>
      <c r="J96" s="21">
        <v>110288</v>
      </c>
      <c r="K96" s="23" t="s">
        <v>120</v>
      </c>
      <c r="L96" s="23" t="s">
        <v>754</v>
      </c>
      <c r="M96" s="23" t="s">
        <v>67</v>
      </c>
      <c r="N96" s="23" t="s">
        <v>38</v>
      </c>
      <c r="Q96" s="6" t="s">
        <v>474</v>
      </c>
      <c r="Z96" s="6" t="s">
        <v>72</v>
      </c>
      <c r="AA96" s="6" t="s">
        <v>474</v>
      </c>
      <c r="AB96" s="19">
        <v>45532</v>
      </c>
      <c r="AC96" s="27">
        <v>45456</v>
      </c>
      <c r="AD96" s="27">
        <v>45586</v>
      </c>
      <c r="AE96" s="19">
        <v>45588</v>
      </c>
      <c r="AF96" s="32" t="s">
        <v>152</v>
      </c>
      <c r="AH96" s="23" t="s">
        <v>82</v>
      </c>
      <c r="AI96" s="23" t="s">
        <v>77</v>
      </c>
      <c r="AJ96" s="23" t="s">
        <v>833</v>
      </c>
      <c r="AK96" s="22">
        <v>700</v>
      </c>
      <c r="AV96" s="6">
        <v>200</v>
      </c>
      <c r="AW96" s="6">
        <v>200</v>
      </c>
      <c r="AX96" s="6">
        <v>100</v>
      </c>
      <c r="AY96" s="6"/>
      <c r="AZ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</row>
    <row r="97" spans="1:137" ht="36" customHeight="1" x14ac:dyDescent="0.25">
      <c r="A97" s="55">
        <v>45432</v>
      </c>
      <c r="B97" s="50" t="s">
        <v>568</v>
      </c>
      <c r="C97" s="57"/>
      <c r="D97" s="6" t="s">
        <v>36</v>
      </c>
      <c r="E97" s="6" t="s">
        <v>146</v>
      </c>
      <c r="H97" s="20"/>
      <c r="J97" s="21">
        <v>107544</v>
      </c>
      <c r="K97" s="23" t="s">
        <v>278</v>
      </c>
      <c r="L97" s="23" t="s">
        <v>569</v>
      </c>
      <c r="M97" s="23" t="s">
        <v>67</v>
      </c>
      <c r="N97" s="23" t="s">
        <v>164</v>
      </c>
      <c r="Q97" s="6" t="s">
        <v>474</v>
      </c>
      <c r="Z97" s="6" t="s">
        <v>72</v>
      </c>
      <c r="AA97" s="6" t="s">
        <v>474</v>
      </c>
      <c r="AB97" s="19">
        <v>45587</v>
      </c>
      <c r="AC97" s="27">
        <v>45588</v>
      </c>
      <c r="AD97" s="27"/>
      <c r="AE97" s="19">
        <v>45593</v>
      </c>
      <c r="AF97" s="32" t="s">
        <v>152</v>
      </c>
      <c r="AH97" s="23" t="s">
        <v>65</v>
      </c>
      <c r="AI97" s="23" t="s">
        <v>77</v>
      </c>
      <c r="AK97" s="22">
        <v>80</v>
      </c>
      <c r="AW97" s="6">
        <v>10</v>
      </c>
      <c r="AX97" s="6">
        <v>40</v>
      </c>
      <c r="AY97" s="6">
        <v>30</v>
      </c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</row>
    <row r="98" spans="1:137" ht="36" customHeight="1" x14ac:dyDescent="0.25">
      <c r="A98" s="55">
        <v>45490</v>
      </c>
      <c r="B98" s="50" t="s">
        <v>977</v>
      </c>
      <c r="C98" s="57"/>
      <c r="D98" s="29"/>
      <c r="E98" s="6" t="s">
        <v>146</v>
      </c>
      <c r="H98" s="20"/>
      <c r="J98" s="21">
        <v>114094</v>
      </c>
      <c r="K98" s="23" t="s">
        <v>278</v>
      </c>
      <c r="L98" s="23" t="s">
        <v>978</v>
      </c>
      <c r="M98" s="23" t="s">
        <v>979</v>
      </c>
      <c r="N98" s="23" t="s">
        <v>38</v>
      </c>
      <c r="Q98" s="6" t="s">
        <v>474</v>
      </c>
      <c r="AC98" s="27">
        <v>45588</v>
      </c>
      <c r="AD98" s="27"/>
      <c r="AE98" s="19">
        <v>45590</v>
      </c>
      <c r="AF98" s="32" t="s">
        <v>152</v>
      </c>
      <c r="AH98" s="23" t="s">
        <v>65</v>
      </c>
      <c r="AI98" s="23" t="s">
        <v>77</v>
      </c>
      <c r="AK98" s="22">
        <v>192</v>
      </c>
      <c r="AV98" s="6">
        <v>60</v>
      </c>
      <c r="AW98" s="6">
        <v>60</v>
      </c>
      <c r="AX98" s="6">
        <v>60</v>
      </c>
      <c r="AY98" s="6">
        <v>12</v>
      </c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</row>
    <row r="99" spans="1:137" ht="36" customHeight="1" x14ac:dyDescent="0.25">
      <c r="A99" s="55">
        <v>45490</v>
      </c>
      <c r="B99" s="50" t="s">
        <v>1013</v>
      </c>
      <c r="C99" s="57"/>
      <c r="D99" s="29"/>
      <c r="E99" s="6" t="s">
        <v>146</v>
      </c>
      <c r="H99" s="20"/>
      <c r="J99" s="21">
        <v>114108</v>
      </c>
      <c r="K99" s="23" t="s">
        <v>278</v>
      </c>
      <c r="L99" s="23" t="s">
        <v>978</v>
      </c>
      <c r="M99" s="23" t="s">
        <v>1014</v>
      </c>
      <c r="N99" s="23" t="s">
        <v>38</v>
      </c>
      <c r="Q99" s="6" t="s">
        <v>474</v>
      </c>
      <c r="AC99" s="27">
        <v>45588</v>
      </c>
      <c r="AD99" s="27"/>
      <c r="AE99" s="19">
        <v>45590</v>
      </c>
      <c r="AF99" s="32" t="s">
        <v>152</v>
      </c>
      <c r="AH99" s="23" t="s">
        <v>65</v>
      </c>
      <c r="AI99" s="23" t="s">
        <v>77</v>
      </c>
      <c r="AK99" s="22">
        <v>192</v>
      </c>
      <c r="AU99" s="6">
        <v>60</v>
      </c>
      <c r="AV99" s="6">
        <v>60</v>
      </c>
      <c r="AW99" s="6">
        <v>60</v>
      </c>
      <c r="AX99" s="6">
        <v>12</v>
      </c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</row>
    <row r="100" spans="1:137" ht="36" customHeight="1" x14ac:dyDescent="0.25">
      <c r="A100" s="55">
        <v>45432</v>
      </c>
      <c r="B100" s="50" t="s">
        <v>506</v>
      </c>
      <c r="C100" s="57"/>
      <c r="D100" s="6" t="s">
        <v>36</v>
      </c>
      <c r="E100" s="6" t="s">
        <v>140</v>
      </c>
      <c r="H100" s="20"/>
      <c r="J100" s="21">
        <v>92849</v>
      </c>
      <c r="K100" s="23" t="s">
        <v>505</v>
      </c>
      <c r="L100" s="23" t="s">
        <v>507</v>
      </c>
      <c r="M100" s="23" t="s">
        <v>67</v>
      </c>
      <c r="N100" s="23" t="s">
        <v>38</v>
      </c>
      <c r="X100" s="19"/>
      <c r="AB100" s="27">
        <v>45545</v>
      </c>
      <c r="AC100" s="27">
        <v>45280</v>
      </c>
      <c r="AD100" s="27">
        <v>45590</v>
      </c>
      <c r="AE100" s="19">
        <v>45592</v>
      </c>
      <c r="AF100" s="32" t="s">
        <v>152</v>
      </c>
      <c r="AH100" s="30" t="s">
        <v>78</v>
      </c>
      <c r="AJ100" s="23" t="s">
        <v>833</v>
      </c>
      <c r="AK100" s="22">
        <v>339</v>
      </c>
      <c r="AY100" s="6">
        <v>139</v>
      </c>
      <c r="AZ100" s="6">
        <v>200</v>
      </c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</row>
    <row r="101" spans="1:137" ht="36" customHeight="1" x14ac:dyDescent="0.25">
      <c r="A101" s="55">
        <v>45432</v>
      </c>
      <c r="B101" s="50" t="s">
        <v>508</v>
      </c>
      <c r="C101" s="57"/>
      <c r="D101" s="6" t="s">
        <v>36</v>
      </c>
      <c r="E101" s="6" t="s">
        <v>140</v>
      </c>
      <c r="G101" s="6" t="s">
        <v>142</v>
      </c>
      <c r="H101" s="20"/>
      <c r="J101" s="21">
        <v>92850</v>
      </c>
      <c r="K101" s="23" t="s">
        <v>505</v>
      </c>
      <c r="L101" s="23" t="s">
        <v>509</v>
      </c>
      <c r="M101" s="23" t="s">
        <v>67</v>
      </c>
      <c r="N101" s="23" t="s">
        <v>38</v>
      </c>
      <c r="AB101" s="27">
        <v>45545</v>
      </c>
      <c r="AC101" s="27">
        <v>45289</v>
      </c>
      <c r="AD101" s="27">
        <v>45590</v>
      </c>
      <c r="AE101" s="19">
        <v>45592</v>
      </c>
      <c r="AF101" s="32" t="s">
        <v>152</v>
      </c>
      <c r="AH101" s="30" t="s">
        <v>78</v>
      </c>
      <c r="AJ101" s="23" t="s">
        <v>833</v>
      </c>
      <c r="AK101" s="22">
        <v>175</v>
      </c>
      <c r="AY101" s="6">
        <v>100</v>
      </c>
      <c r="AZ101" s="6">
        <v>75</v>
      </c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</row>
    <row r="102" spans="1:137" ht="36" customHeight="1" x14ac:dyDescent="0.25">
      <c r="A102" s="55">
        <v>45475</v>
      </c>
      <c r="B102" s="50" t="s">
        <v>880</v>
      </c>
      <c r="C102" s="57"/>
      <c r="D102" s="29"/>
      <c r="E102" s="6" t="s">
        <v>140</v>
      </c>
      <c r="G102" s="6" t="s">
        <v>142</v>
      </c>
      <c r="H102" s="20"/>
      <c r="J102" s="21">
        <v>113664</v>
      </c>
      <c r="K102" s="23" t="s">
        <v>112</v>
      </c>
      <c r="L102" s="23" t="s">
        <v>939</v>
      </c>
      <c r="M102" s="23">
        <v>4575813800</v>
      </c>
      <c r="N102" s="23" t="s">
        <v>38</v>
      </c>
      <c r="R102" s="19">
        <v>45521</v>
      </c>
      <c r="AC102" s="27">
        <v>45590</v>
      </c>
      <c r="AD102" s="27"/>
      <c r="AE102" s="19">
        <v>45595</v>
      </c>
      <c r="AF102" s="23" t="s">
        <v>156</v>
      </c>
      <c r="AG102" s="23" t="s">
        <v>178</v>
      </c>
      <c r="AH102" s="23" t="s">
        <v>82</v>
      </c>
      <c r="AI102" s="23" t="s">
        <v>77</v>
      </c>
      <c r="AJ102" s="23" t="s">
        <v>1084</v>
      </c>
      <c r="AK102" s="22">
        <v>948</v>
      </c>
      <c r="AQ102" s="6">
        <v>28</v>
      </c>
      <c r="AR102" s="6">
        <v>30</v>
      </c>
      <c r="AS102" s="6">
        <v>200</v>
      </c>
      <c r="AT102" s="6">
        <v>125</v>
      </c>
      <c r="AU102" s="6">
        <v>150</v>
      </c>
      <c r="AV102" s="6">
        <v>150</v>
      </c>
      <c r="AW102" s="6">
        <v>145</v>
      </c>
      <c r="AX102" s="6">
        <v>100</v>
      </c>
      <c r="AY102" s="6">
        <v>20</v>
      </c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</row>
    <row r="103" spans="1:137" ht="36" customHeight="1" x14ac:dyDescent="0.25">
      <c r="A103" s="55">
        <v>45483</v>
      </c>
      <c r="B103" s="50" t="s">
        <v>916</v>
      </c>
      <c r="C103" s="57"/>
      <c r="D103" s="29"/>
      <c r="E103" s="6" t="s">
        <v>140</v>
      </c>
      <c r="G103" s="6" t="s">
        <v>163</v>
      </c>
      <c r="H103" s="20"/>
      <c r="J103" s="21">
        <v>113859</v>
      </c>
      <c r="K103" s="23" t="s">
        <v>299</v>
      </c>
      <c r="L103" s="23" t="s">
        <v>973</v>
      </c>
      <c r="M103" s="23" t="s">
        <v>917</v>
      </c>
      <c r="N103" s="23" t="s">
        <v>38</v>
      </c>
      <c r="R103" s="19">
        <v>45525</v>
      </c>
      <c r="Z103" s="6" t="s">
        <v>57</v>
      </c>
      <c r="AA103" s="19">
        <v>45589</v>
      </c>
      <c r="AC103" s="27">
        <v>45593</v>
      </c>
      <c r="AD103" s="27"/>
      <c r="AE103" s="19">
        <v>45595</v>
      </c>
      <c r="AF103" s="23" t="s">
        <v>156</v>
      </c>
      <c r="AG103" s="23" t="s">
        <v>178</v>
      </c>
      <c r="AH103" s="23" t="s">
        <v>82</v>
      </c>
      <c r="AI103" s="23" t="s">
        <v>77</v>
      </c>
      <c r="AJ103" s="23" t="s">
        <v>1084</v>
      </c>
      <c r="AK103" s="22">
        <v>520</v>
      </c>
      <c r="AS103" s="6">
        <v>65</v>
      </c>
      <c r="AT103" s="6">
        <v>70</v>
      </c>
      <c r="AU103" s="6">
        <v>70</v>
      </c>
      <c r="AV103" s="6">
        <v>75</v>
      </c>
      <c r="AW103" s="6">
        <v>100</v>
      </c>
      <c r="AX103" s="6">
        <v>100</v>
      </c>
      <c r="AY103" s="6">
        <v>40</v>
      </c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</row>
    <row r="104" spans="1:137" ht="36" customHeight="1" x14ac:dyDescent="0.25">
      <c r="A104" s="55">
        <v>45432</v>
      </c>
      <c r="B104" s="21" t="s">
        <v>886</v>
      </c>
      <c r="C104" s="57"/>
      <c r="D104" s="6" t="s">
        <v>35</v>
      </c>
      <c r="E104" s="6" t="s">
        <v>153</v>
      </c>
      <c r="G104" s="6" t="s">
        <v>163</v>
      </c>
      <c r="H104" s="20"/>
      <c r="J104" s="21">
        <v>106009</v>
      </c>
      <c r="K104" s="23" t="s">
        <v>115</v>
      </c>
      <c r="L104" s="37" t="s">
        <v>848</v>
      </c>
      <c r="M104" s="23" t="s">
        <v>67</v>
      </c>
      <c r="N104" s="23" t="s">
        <v>38</v>
      </c>
      <c r="Q104" s="38" t="s">
        <v>474</v>
      </c>
      <c r="R104" s="19">
        <v>45476</v>
      </c>
      <c r="AB104" s="19">
        <v>45510</v>
      </c>
      <c r="AC104" s="27">
        <v>45511</v>
      </c>
      <c r="AD104" s="27">
        <v>45593</v>
      </c>
      <c r="AE104" s="19">
        <v>45596</v>
      </c>
      <c r="AF104" s="23" t="s">
        <v>149</v>
      </c>
      <c r="AG104" s="23" t="s">
        <v>165</v>
      </c>
      <c r="AH104" s="23" t="s">
        <v>82</v>
      </c>
      <c r="AI104" s="23" t="s">
        <v>77</v>
      </c>
      <c r="AK104" s="22">
        <v>15</v>
      </c>
      <c r="AM104" s="6">
        <v>15</v>
      </c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</row>
    <row r="105" spans="1:137" ht="36" customHeight="1" x14ac:dyDescent="0.25">
      <c r="A105" s="55">
        <v>45420</v>
      </c>
      <c r="B105" s="50" t="s">
        <v>254</v>
      </c>
      <c r="C105" s="57"/>
      <c r="D105" s="6" t="s">
        <v>36</v>
      </c>
      <c r="E105" s="6" t="s">
        <v>146</v>
      </c>
      <c r="F105" s="6" t="s">
        <v>147</v>
      </c>
      <c r="G105" s="6" t="s">
        <v>157</v>
      </c>
      <c r="H105" s="20"/>
      <c r="J105" s="21">
        <v>111568</v>
      </c>
      <c r="K105" s="23" t="s">
        <v>255</v>
      </c>
      <c r="L105" s="23" t="s">
        <v>765</v>
      </c>
      <c r="M105" s="23" t="s">
        <v>67</v>
      </c>
      <c r="N105" s="23" t="s">
        <v>38</v>
      </c>
      <c r="Q105" s="23" t="s">
        <v>720</v>
      </c>
      <c r="R105" s="19">
        <v>45461</v>
      </c>
      <c r="S105" s="19">
        <v>45467</v>
      </c>
      <c r="T105" s="19">
        <v>45484</v>
      </c>
      <c r="U105" s="19">
        <v>45491</v>
      </c>
      <c r="V105" s="19">
        <f>+U105</f>
        <v>45491</v>
      </c>
      <c r="W105" s="19">
        <v>45498</v>
      </c>
      <c r="X105" s="19">
        <v>45505</v>
      </c>
      <c r="Z105" s="6" t="s">
        <v>72</v>
      </c>
      <c r="AA105" s="6" t="s">
        <v>474</v>
      </c>
      <c r="AB105" s="19">
        <v>45509</v>
      </c>
      <c r="AC105" s="27">
        <v>45595</v>
      </c>
      <c r="AD105" s="27"/>
      <c r="AE105" s="19">
        <v>45597</v>
      </c>
      <c r="AF105" s="23" t="s">
        <v>149</v>
      </c>
      <c r="AG105" s="23" t="s">
        <v>165</v>
      </c>
      <c r="AH105" s="30" t="s">
        <v>78</v>
      </c>
      <c r="AI105" s="23" t="s">
        <v>69</v>
      </c>
      <c r="AJ105" s="23" t="s">
        <v>970</v>
      </c>
      <c r="AK105" s="22">
        <v>260</v>
      </c>
      <c r="AL105" s="6">
        <v>40</v>
      </c>
      <c r="AM105" s="6">
        <v>40</v>
      </c>
      <c r="AY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</row>
    <row r="106" spans="1:137" ht="36" customHeight="1" x14ac:dyDescent="0.25">
      <c r="A106" s="55">
        <v>45420</v>
      </c>
      <c r="B106" s="50" t="s">
        <v>256</v>
      </c>
      <c r="C106" s="57"/>
      <c r="D106" s="6" t="s">
        <v>36</v>
      </c>
      <c r="E106" s="6" t="s">
        <v>146</v>
      </c>
      <c r="F106" s="6" t="s">
        <v>147</v>
      </c>
      <c r="G106" s="6" t="s">
        <v>157</v>
      </c>
      <c r="H106" s="20"/>
      <c r="J106" s="21">
        <v>111568</v>
      </c>
      <c r="K106" s="23" t="s">
        <v>255</v>
      </c>
      <c r="L106" s="23" t="s">
        <v>931</v>
      </c>
      <c r="M106" s="23" t="s">
        <v>67</v>
      </c>
      <c r="N106" s="23" t="s">
        <v>38</v>
      </c>
      <c r="Q106" s="23" t="s">
        <v>720</v>
      </c>
      <c r="S106" s="19">
        <v>45467</v>
      </c>
      <c r="T106" s="19">
        <v>45471</v>
      </c>
      <c r="U106" s="19">
        <v>45483</v>
      </c>
      <c r="V106" s="19">
        <f>+U106</f>
        <v>45483</v>
      </c>
      <c r="W106" s="19">
        <v>45485</v>
      </c>
      <c r="X106" s="19">
        <v>45499</v>
      </c>
      <c r="Z106" s="6" t="s">
        <v>72</v>
      </c>
      <c r="AB106" s="19">
        <v>45594</v>
      </c>
      <c r="AC106" s="27">
        <v>45595</v>
      </c>
      <c r="AD106" s="27"/>
      <c r="AE106" s="19">
        <v>45597</v>
      </c>
      <c r="AG106" s="23" t="s">
        <v>165</v>
      </c>
      <c r="AH106" s="23" t="s">
        <v>82</v>
      </c>
      <c r="AI106" s="23" t="s">
        <v>77</v>
      </c>
      <c r="AK106" s="22">
        <v>12</v>
      </c>
      <c r="AY106" s="6">
        <v>12</v>
      </c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</row>
    <row r="107" spans="1:137" ht="36" customHeight="1" x14ac:dyDescent="0.25">
      <c r="A107" s="55">
        <v>45432</v>
      </c>
      <c r="B107" s="50" t="s">
        <v>544</v>
      </c>
      <c r="C107" s="57"/>
      <c r="D107" s="6" t="s">
        <v>36</v>
      </c>
      <c r="E107" s="6" t="s">
        <v>146</v>
      </c>
      <c r="H107" s="20"/>
      <c r="J107" s="21">
        <v>111068</v>
      </c>
      <c r="K107" s="23" t="s">
        <v>278</v>
      </c>
      <c r="L107" s="23" t="s">
        <v>543</v>
      </c>
      <c r="M107" s="23" t="s">
        <v>67</v>
      </c>
      <c r="N107" s="23" t="s">
        <v>164</v>
      </c>
      <c r="Q107" s="6" t="s">
        <v>474</v>
      </c>
      <c r="Z107" s="6" t="s">
        <v>72</v>
      </c>
      <c r="AA107" s="6" t="s">
        <v>474</v>
      </c>
      <c r="AB107" s="27">
        <v>45595</v>
      </c>
      <c r="AC107" s="27">
        <v>45540</v>
      </c>
      <c r="AD107" s="27">
        <v>45596</v>
      </c>
      <c r="AE107" s="19">
        <v>45600</v>
      </c>
      <c r="AF107" s="32" t="s">
        <v>152</v>
      </c>
      <c r="AI107" s="23" t="s">
        <v>77</v>
      </c>
      <c r="AK107" s="22">
        <v>56</v>
      </c>
      <c r="AX107" s="6">
        <v>40</v>
      </c>
      <c r="AY107" s="6">
        <v>16</v>
      </c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</row>
    <row r="108" spans="1:137" ht="36" customHeight="1" x14ac:dyDescent="0.25">
      <c r="A108" s="55">
        <v>45432</v>
      </c>
      <c r="B108" s="50" t="s">
        <v>555</v>
      </c>
      <c r="C108" s="57"/>
      <c r="D108" s="6" t="s">
        <v>36</v>
      </c>
      <c r="E108" s="6" t="s">
        <v>146</v>
      </c>
      <c r="H108" s="20"/>
      <c r="J108" s="21">
        <v>111069</v>
      </c>
      <c r="K108" s="23" t="s">
        <v>278</v>
      </c>
      <c r="L108" s="23" t="s">
        <v>545</v>
      </c>
      <c r="M108" s="23" t="s">
        <v>67</v>
      </c>
      <c r="N108" s="23" t="s">
        <v>164</v>
      </c>
      <c r="Q108" s="6" t="s">
        <v>474</v>
      </c>
      <c r="Z108" s="6" t="s">
        <v>72</v>
      </c>
      <c r="AA108" s="6" t="s">
        <v>474</v>
      </c>
      <c r="AB108" s="27">
        <v>45595</v>
      </c>
      <c r="AC108" s="27">
        <v>45540</v>
      </c>
      <c r="AD108" s="27">
        <v>45596</v>
      </c>
      <c r="AE108" s="19">
        <v>45600</v>
      </c>
      <c r="AF108" s="32" t="s">
        <v>152</v>
      </c>
      <c r="AI108" s="23" t="s">
        <v>77</v>
      </c>
      <c r="AK108" s="22">
        <v>56</v>
      </c>
      <c r="AY108" s="6">
        <v>40</v>
      </c>
      <c r="AZ108" s="6">
        <v>16</v>
      </c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</row>
    <row r="109" spans="1:137" ht="36" customHeight="1" x14ac:dyDescent="0.25">
      <c r="A109" s="55">
        <v>45429</v>
      </c>
      <c r="B109" s="50" t="s">
        <v>485</v>
      </c>
      <c r="C109" s="57"/>
      <c r="D109" s="6" t="s">
        <v>35</v>
      </c>
      <c r="E109" s="6" t="s">
        <v>153</v>
      </c>
      <c r="F109" s="6" t="s">
        <v>147</v>
      </c>
      <c r="G109" s="6" t="s">
        <v>166</v>
      </c>
      <c r="H109" s="20"/>
      <c r="J109" s="21">
        <v>107897</v>
      </c>
      <c r="K109" s="23" t="s">
        <v>115</v>
      </c>
      <c r="L109" s="23" t="s">
        <v>491</v>
      </c>
      <c r="M109" s="23" t="s">
        <v>67</v>
      </c>
      <c r="N109" s="23" t="s">
        <v>143</v>
      </c>
      <c r="AB109" s="27">
        <v>45596</v>
      </c>
      <c r="AC109" s="27">
        <v>45345</v>
      </c>
      <c r="AD109" s="27">
        <v>45597</v>
      </c>
      <c r="AE109" s="19">
        <v>45600</v>
      </c>
      <c r="AF109" s="23" t="s">
        <v>149</v>
      </c>
      <c r="AG109" s="23" t="s">
        <v>151</v>
      </c>
      <c r="AH109" s="30" t="s">
        <v>78</v>
      </c>
      <c r="AI109" s="23" t="s">
        <v>87</v>
      </c>
      <c r="AJ109" s="23" t="s">
        <v>635</v>
      </c>
      <c r="AK109" s="22">
        <v>4</v>
      </c>
      <c r="AU109" s="38"/>
      <c r="AY109" s="6"/>
      <c r="AZ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</row>
    <row r="110" spans="1:137" ht="36" customHeight="1" x14ac:dyDescent="0.25">
      <c r="A110" s="55">
        <v>45456</v>
      </c>
      <c r="B110" s="50" t="s">
        <v>739</v>
      </c>
      <c r="C110" s="57"/>
      <c r="D110" s="6" t="s">
        <v>36</v>
      </c>
      <c r="E110" s="6" t="s">
        <v>146</v>
      </c>
      <c r="G110" s="6" t="s">
        <v>163</v>
      </c>
      <c r="H110" s="20"/>
      <c r="J110" s="21">
        <v>112983</v>
      </c>
      <c r="K110" s="23" t="s">
        <v>278</v>
      </c>
      <c r="L110" s="23" t="s">
        <v>575</v>
      </c>
      <c r="M110" s="23" t="s">
        <v>731</v>
      </c>
      <c r="N110" s="23" t="s">
        <v>154</v>
      </c>
      <c r="Q110" s="6" t="s">
        <v>474</v>
      </c>
      <c r="R110" s="19">
        <v>45490</v>
      </c>
      <c r="Z110" s="6" t="s">
        <v>72</v>
      </c>
      <c r="AA110" s="6" t="s">
        <v>474</v>
      </c>
      <c r="AB110" s="19">
        <v>45602</v>
      </c>
      <c r="AC110" s="27">
        <v>45603</v>
      </c>
      <c r="AD110" s="27"/>
      <c r="AE110" s="19">
        <v>45607</v>
      </c>
      <c r="AF110" s="32" t="s">
        <v>152</v>
      </c>
      <c r="AH110" s="23" t="s">
        <v>65</v>
      </c>
      <c r="AI110" s="23" t="s">
        <v>77</v>
      </c>
      <c r="AK110" s="22">
        <v>56</v>
      </c>
      <c r="AY110" s="6">
        <v>40</v>
      </c>
      <c r="AZ110" s="6">
        <v>16</v>
      </c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</row>
    <row r="111" spans="1:137" ht="36" customHeight="1" x14ac:dyDescent="0.25">
      <c r="A111" s="55">
        <v>45456</v>
      </c>
      <c r="B111" s="50" t="s">
        <v>768</v>
      </c>
      <c r="C111" s="57"/>
      <c r="D111" s="6" t="s">
        <v>36</v>
      </c>
      <c r="E111" s="6" t="s">
        <v>146</v>
      </c>
      <c r="G111" s="6" t="s">
        <v>163</v>
      </c>
      <c r="H111" s="20"/>
      <c r="J111" s="21">
        <v>112984</v>
      </c>
      <c r="K111" s="23" t="s">
        <v>278</v>
      </c>
      <c r="L111" s="23" t="s">
        <v>740</v>
      </c>
      <c r="M111" s="23" t="s">
        <v>731</v>
      </c>
      <c r="N111" s="23" t="s">
        <v>154</v>
      </c>
      <c r="Q111" s="6" t="s">
        <v>474</v>
      </c>
      <c r="R111" s="19">
        <v>45490</v>
      </c>
      <c r="Z111" s="6" t="s">
        <v>72</v>
      </c>
      <c r="AA111" s="6" t="s">
        <v>474</v>
      </c>
      <c r="AB111" s="19">
        <v>45602</v>
      </c>
      <c r="AC111" s="27">
        <v>45603</v>
      </c>
      <c r="AD111" s="27"/>
      <c r="AE111" s="19">
        <v>45607</v>
      </c>
      <c r="AF111" s="32" t="s">
        <v>152</v>
      </c>
      <c r="AH111" s="23" t="s">
        <v>65</v>
      </c>
      <c r="AI111" s="23" t="s">
        <v>77</v>
      </c>
      <c r="AK111" s="22">
        <v>56</v>
      </c>
      <c r="AY111" s="6">
        <v>40</v>
      </c>
      <c r="AZ111" s="6">
        <v>16</v>
      </c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</row>
    <row r="112" spans="1:137" ht="36" customHeight="1" x14ac:dyDescent="0.25">
      <c r="A112" s="55">
        <v>45432</v>
      </c>
      <c r="B112" s="50" t="s">
        <v>576</v>
      </c>
      <c r="C112" s="57"/>
      <c r="D112" s="6" t="s">
        <v>36</v>
      </c>
      <c r="E112" s="6" t="s">
        <v>146</v>
      </c>
      <c r="H112" s="20"/>
      <c r="J112" s="21">
        <v>111089</v>
      </c>
      <c r="K112" s="23" t="s">
        <v>278</v>
      </c>
      <c r="L112" s="23" t="s">
        <v>575</v>
      </c>
      <c r="M112" s="23" t="s">
        <v>67</v>
      </c>
      <c r="N112" s="23" t="s">
        <v>164</v>
      </c>
      <c r="Q112" s="6" t="s">
        <v>474</v>
      </c>
      <c r="Z112" s="6" t="s">
        <v>72</v>
      </c>
      <c r="AA112" s="6" t="s">
        <v>474</v>
      </c>
      <c r="AB112" s="19">
        <v>45602</v>
      </c>
      <c r="AC112" s="27">
        <v>45603</v>
      </c>
      <c r="AD112" s="27"/>
      <c r="AE112" s="19">
        <v>45607</v>
      </c>
      <c r="AF112" s="32" t="s">
        <v>152</v>
      </c>
      <c r="AH112" s="23" t="s">
        <v>65</v>
      </c>
      <c r="AI112" s="23" t="s">
        <v>77</v>
      </c>
      <c r="AK112" s="22">
        <v>56</v>
      </c>
      <c r="AY112" s="6"/>
      <c r="AZ112" s="6">
        <v>40</v>
      </c>
      <c r="BA112" s="6">
        <v>16</v>
      </c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</row>
    <row r="113" spans="1:137" ht="36" customHeight="1" x14ac:dyDescent="0.25">
      <c r="A113" s="55">
        <v>45448</v>
      </c>
      <c r="B113" s="50" t="s">
        <v>669</v>
      </c>
      <c r="C113" s="57"/>
      <c r="D113" s="6" t="s">
        <v>36</v>
      </c>
      <c r="E113" s="6" t="s">
        <v>146</v>
      </c>
      <c r="H113" s="20"/>
      <c r="J113" s="21">
        <v>112675</v>
      </c>
      <c r="K113" s="23" t="s">
        <v>278</v>
      </c>
      <c r="L113" s="23" t="s">
        <v>667</v>
      </c>
      <c r="M113" s="23" t="s">
        <v>668</v>
      </c>
      <c r="N113" s="23" t="s">
        <v>154</v>
      </c>
      <c r="Q113" s="6" t="s">
        <v>474</v>
      </c>
      <c r="Z113" s="6" t="s">
        <v>72</v>
      </c>
      <c r="AA113" s="6" t="s">
        <v>474</v>
      </c>
      <c r="AB113" s="19">
        <v>45602</v>
      </c>
      <c r="AC113" s="27">
        <v>45603</v>
      </c>
      <c r="AD113" s="27"/>
      <c r="AE113" s="19">
        <v>45607</v>
      </c>
      <c r="AF113" s="32" t="s">
        <v>152</v>
      </c>
      <c r="AH113" s="23" t="s">
        <v>65</v>
      </c>
      <c r="AI113" s="23" t="s">
        <v>77</v>
      </c>
      <c r="AK113" s="22">
        <v>56</v>
      </c>
      <c r="AZ113" s="6">
        <v>40</v>
      </c>
      <c r="BA113" s="6">
        <v>16</v>
      </c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</row>
    <row r="114" spans="1:137" ht="36" customHeight="1" x14ac:dyDescent="0.25">
      <c r="A114" s="55">
        <v>45448</v>
      </c>
      <c r="B114" s="50" t="s">
        <v>672</v>
      </c>
      <c r="C114" s="57"/>
      <c r="D114" s="6" t="s">
        <v>36</v>
      </c>
      <c r="E114" s="6" t="s">
        <v>146</v>
      </c>
      <c r="H114" s="20"/>
      <c r="J114" s="21">
        <v>112676</v>
      </c>
      <c r="K114" s="23" t="s">
        <v>278</v>
      </c>
      <c r="L114" s="23" t="s">
        <v>670</v>
      </c>
      <c r="M114" s="23" t="s">
        <v>671</v>
      </c>
      <c r="N114" s="23" t="s">
        <v>154</v>
      </c>
      <c r="Q114" s="6" t="s">
        <v>474</v>
      </c>
      <c r="Z114" s="6" t="s">
        <v>72</v>
      </c>
      <c r="AA114" s="6" t="s">
        <v>474</v>
      </c>
      <c r="AB114" s="19">
        <v>45602</v>
      </c>
      <c r="AC114" s="27">
        <v>45630</v>
      </c>
      <c r="AD114" s="27">
        <v>45603</v>
      </c>
      <c r="AE114" s="19">
        <v>45607</v>
      </c>
      <c r="AF114" s="32" t="s">
        <v>152</v>
      </c>
      <c r="AH114" s="23" t="s">
        <v>65</v>
      </c>
      <c r="AI114" s="23" t="s">
        <v>77</v>
      </c>
      <c r="AK114" s="22">
        <v>56</v>
      </c>
      <c r="AZ114" s="6">
        <v>40</v>
      </c>
      <c r="BA114" s="6">
        <v>16</v>
      </c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</row>
    <row r="115" spans="1:137" ht="36" customHeight="1" x14ac:dyDescent="0.25">
      <c r="A115" s="55">
        <v>45460</v>
      </c>
      <c r="B115" s="21" t="s">
        <v>823</v>
      </c>
      <c r="C115" s="57"/>
      <c r="D115" s="6" t="s">
        <v>35</v>
      </c>
      <c r="E115" s="6" t="s">
        <v>146</v>
      </c>
      <c r="G115" s="6" t="s">
        <v>163</v>
      </c>
      <c r="H115" s="20"/>
      <c r="J115" s="21">
        <v>111683</v>
      </c>
      <c r="K115" s="23" t="s">
        <v>252</v>
      </c>
      <c r="L115" s="23" t="s">
        <v>776</v>
      </c>
      <c r="M115" s="23" t="s">
        <v>253</v>
      </c>
      <c r="N115" s="23" t="s">
        <v>38</v>
      </c>
      <c r="Q115" s="23" t="s">
        <v>755</v>
      </c>
      <c r="R115" s="28" t="s">
        <v>748</v>
      </c>
      <c r="S115" s="19">
        <v>45470</v>
      </c>
      <c r="T115" s="19">
        <v>45485</v>
      </c>
      <c r="U115" s="19">
        <v>45497</v>
      </c>
      <c r="V115" s="19">
        <f>+U115</f>
        <v>45497</v>
      </c>
      <c r="W115" s="19">
        <v>45509</v>
      </c>
      <c r="X115" s="19">
        <v>45520</v>
      </c>
      <c r="Z115" s="6" t="s">
        <v>67</v>
      </c>
      <c r="AA115" s="19">
        <v>45538</v>
      </c>
      <c r="AB115" s="19">
        <v>45608</v>
      </c>
      <c r="AC115" s="27">
        <v>45609</v>
      </c>
      <c r="AD115" s="27"/>
      <c r="AE115" s="19">
        <v>45611</v>
      </c>
      <c r="AF115" s="23" t="s">
        <v>149</v>
      </c>
      <c r="AG115" s="23" t="s">
        <v>165</v>
      </c>
      <c r="AH115" s="30" t="s">
        <v>78</v>
      </c>
      <c r="AI115" s="23" t="s">
        <v>69</v>
      </c>
      <c r="AJ115" s="46" t="s">
        <v>1081</v>
      </c>
      <c r="AK115" s="22">
        <v>480</v>
      </c>
      <c r="AL115" s="6">
        <v>60</v>
      </c>
      <c r="AM115" s="6">
        <v>60</v>
      </c>
      <c r="AN115" s="6">
        <v>60</v>
      </c>
      <c r="AO115" s="6">
        <v>60</v>
      </c>
      <c r="AP115" s="6">
        <v>50</v>
      </c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</row>
    <row r="116" spans="1:137" ht="36" customHeight="1" x14ac:dyDescent="0.25">
      <c r="A116" s="55">
        <v>45490</v>
      </c>
      <c r="B116" s="50" t="s">
        <v>980</v>
      </c>
      <c r="C116" s="57"/>
      <c r="D116" s="29"/>
      <c r="E116" s="6" t="s">
        <v>146</v>
      </c>
      <c r="H116" s="20"/>
      <c r="J116" s="21">
        <v>114096</v>
      </c>
      <c r="K116" s="23" t="s">
        <v>278</v>
      </c>
      <c r="L116" s="23" t="s">
        <v>981</v>
      </c>
      <c r="M116" s="23" t="s">
        <v>982</v>
      </c>
      <c r="N116" s="23" t="s">
        <v>38</v>
      </c>
      <c r="Q116" s="6" t="s">
        <v>474</v>
      </c>
      <c r="AC116" s="27">
        <v>45609</v>
      </c>
      <c r="AD116" s="27"/>
      <c r="AE116" s="19">
        <v>45611</v>
      </c>
      <c r="AF116" s="32" t="s">
        <v>152</v>
      </c>
      <c r="AH116" s="23" t="s">
        <v>65</v>
      </c>
      <c r="AI116" s="23" t="s">
        <v>77</v>
      </c>
      <c r="AK116" s="22">
        <v>56</v>
      </c>
      <c r="AZ116" s="4">
        <v>40</v>
      </c>
      <c r="BA116" s="6">
        <v>16</v>
      </c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</row>
    <row r="117" spans="1:137" ht="36" customHeight="1" x14ac:dyDescent="0.25">
      <c r="A117" s="55">
        <v>45460</v>
      </c>
      <c r="B117" s="50" t="s">
        <v>824</v>
      </c>
      <c r="C117" s="57"/>
      <c r="D117" s="6" t="s">
        <v>36</v>
      </c>
      <c r="E117" s="6" t="s">
        <v>146</v>
      </c>
      <c r="G117" s="6" t="s">
        <v>163</v>
      </c>
      <c r="H117" s="20"/>
      <c r="J117" s="21">
        <v>111720</v>
      </c>
      <c r="K117" s="23" t="s">
        <v>252</v>
      </c>
      <c r="L117" s="23" t="s">
        <v>846</v>
      </c>
      <c r="M117" s="23" t="s">
        <v>258</v>
      </c>
      <c r="N117" s="23" t="s">
        <v>38</v>
      </c>
      <c r="Q117" s="23" t="s">
        <v>711</v>
      </c>
      <c r="R117" s="19" t="s">
        <v>624</v>
      </c>
      <c r="S117" s="19">
        <v>45470</v>
      </c>
      <c r="T117" s="19">
        <v>45471</v>
      </c>
      <c r="U117" s="19">
        <v>45470</v>
      </c>
      <c r="V117" s="19">
        <f>+U117</f>
        <v>45470</v>
      </c>
      <c r="W117" s="19">
        <v>45474</v>
      </c>
      <c r="X117" s="19">
        <v>45475</v>
      </c>
      <c r="Z117" s="6" t="s">
        <v>67</v>
      </c>
      <c r="AA117" s="19">
        <v>45545</v>
      </c>
      <c r="AB117" s="19">
        <v>45608</v>
      </c>
      <c r="AC117" s="27">
        <v>45609</v>
      </c>
      <c r="AD117" s="27"/>
      <c r="AE117" s="19">
        <v>45611</v>
      </c>
      <c r="AF117" s="23" t="s">
        <v>149</v>
      </c>
      <c r="AG117" s="23" t="s">
        <v>165</v>
      </c>
      <c r="AH117" s="30" t="s">
        <v>78</v>
      </c>
      <c r="AI117" s="23" t="s">
        <v>85</v>
      </c>
      <c r="AJ117" s="46"/>
      <c r="AK117" s="22">
        <v>50</v>
      </c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</row>
    <row r="118" spans="1:137" ht="36" customHeight="1" x14ac:dyDescent="0.25">
      <c r="A118" s="55">
        <v>45490</v>
      </c>
      <c r="B118" s="50" t="s">
        <v>1015</v>
      </c>
      <c r="C118" s="57"/>
      <c r="D118" s="29"/>
      <c r="E118" s="6" t="s">
        <v>146</v>
      </c>
      <c r="H118" s="20"/>
      <c r="J118" s="21">
        <v>114109</v>
      </c>
      <c r="K118" s="23" t="s">
        <v>278</v>
      </c>
      <c r="L118" s="23" t="s">
        <v>981</v>
      </c>
      <c r="M118" s="23" t="s">
        <v>1016</v>
      </c>
      <c r="N118" s="23" t="s">
        <v>38</v>
      </c>
      <c r="Q118" s="6" t="s">
        <v>474</v>
      </c>
      <c r="AC118" s="27">
        <v>45609</v>
      </c>
      <c r="AD118" s="27"/>
      <c r="AE118" s="19">
        <v>45611</v>
      </c>
      <c r="AF118" s="32" t="s">
        <v>152</v>
      </c>
      <c r="AH118" s="23" t="s">
        <v>65</v>
      </c>
      <c r="AI118" s="23" t="s">
        <v>77</v>
      </c>
      <c r="AK118" s="22">
        <v>56</v>
      </c>
      <c r="AZ118" s="4">
        <v>40</v>
      </c>
      <c r="BA118" s="6">
        <v>16</v>
      </c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</row>
    <row r="119" spans="1:137" ht="36" customHeight="1" x14ac:dyDescent="0.25">
      <c r="A119" s="55">
        <v>45475</v>
      </c>
      <c r="B119" s="50" t="s">
        <v>875</v>
      </c>
      <c r="C119" s="57"/>
      <c r="D119" s="29"/>
      <c r="E119" s="6" t="s">
        <v>161</v>
      </c>
      <c r="H119" s="20"/>
      <c r="J119" s="21">
        <v>113647</v>
      </c>
      <c r="K119" s="23" t="s">
        <v>874</v>
      </c>
      <c r="L119" s="23" t="s">
        <v>1066</v>
      </c>
      <c r="M119" s="23" t="s">
        <v>876</v>
      </c>
      <c r="N119" s="23" t="s">
        <v>38</v>
      </c>
      <c r="AC119" s="27">
        <v>45609</v>
      </c>
      <c r="AD119" s="27"/>
      <c r="AE119" s="19">
        <v>45614</v>
      </c>
      <c r="AF119" s="32" t="s">
        <v>152</v>
      </c>
      <c r="AH119" s="23" t="s">
        <v>65</v>
      </c>
      <c r="AI119" s="23" t="s">
        <v>77</v>
      </c>
      <c r="AJ119" s="23" t="s">
        <v>93</v>
      </c>
      <c r="AK119" s="22">
        <v>65</v>
      </c>
      <c r="BA119" s="6">
        <v>50</v>
      </c>
      <c r="BB119" s="6">
        <v>15</v>
      </c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</row>
    <row r="120" spans="1:137" ht="36" customHeight="1" x14ac:dyDescent="0.25">
      <c r="A120" s="55">
        <v>45462</v>
      </c>
      <c r="B120" s="50" t="s">
        <v>782</v>
      </c>
      <c r="C120" s="57"/>
      <c r="D120" s="6" t="s">
        <v>36</v>
      </c>
      <c r="E120" s="6" t="s">
        <v>146</v>
      </c>
      <c r="H120" s="20"/>
      <c r="J120" s="21">
        <v>113224</v>
      </c>
      <c r="K120" s="23" t="s">
        <v>278</v>
      </c>
      <c r="L120" s="23" t="s">
        <v>612</v>
      </c>
      <c r="M120" s="23" t="s">
        <v>780</v>
      </c>
      <c r="N120" s="23" t="s">
        <v>164</v>
      </c>
      <c r="Q120" s="6" t="s">
        <v>474</v>
      </c>
      <c r="Y120" s="6" t="s">
        <v>474</v>
      </c>
      <c r="Z120" s="6" t="s">
        <v>72</v>
      </c>
      <c r="AA120" s="6" t="s">
        <v>474</v>
      </c>
      <c r="AB120" s="27">
        <v>45609</v>
      </c>
      <c r="AC120" s="27">
        <v>45610</v>
      </c>
      <c r="AD120" s="27"/>
      <c r="AE120" s="19">
        <v>45614</v>
      </c>
      <c r="AF120" s="32" t="s">
        <v>152</v>
      </c>
      <c r="AH120" s="23" t="s">
        <v>65</v>
      </c>
      <c r="AI120" s="23" t="s">
        <v>77</v>
      </c>
      <c r="AK120" s="22">
        <v>56</v>
      </c>
      <c r="BA120" s="6">
        <v>40</v>
      </c>
      <c r="BB120" s="6">
        <v>16</v>
      </c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</row>
    <row r="121" spans="1:137" ht="36" customHeight="1" x14ac:dyDescent="0.25">
      <c r="A121" s="55">
        <v>45432</v>
      </c>
      <c r="B121" s="50" t="s">
        <v>557</v>
      </c>
      <c r="C121" s="57"/>
      <c r="D121" s="6" t="s">
        <v>36</v>
      </c>
      <c r="E121" s="6" t="s">
        <v>146</v>
      </c>
      <c r="H121" s="20"/>
      <c r="J121" s="21">
        <v>111070</v>
      </c>
      <c r="K121" s="23" t="s">
        <v>278</v>
      </c>
      <c r="L121" s="23" t="s">
        <v>556</v>
      </c>
      <c r="M121" s="23" t="s">
        <v>67</v>
      </c>
      <c r="N121" s="23" t="s">
        <v>164</v>
      </c>
      <c r="Q121" s="6" t="s">
        <v>474</v>
      </c>
      <c r="Z121" s="6" t="s">
        <v>72</v>
      </c>
      <c r="AA121" s="6" t="s">
        <v>474</v>
      </c>
      <c r="AB121" s="19">
        <v>45616</v>
      </c>
      <c r="AC121" s="27">
        <v>45561</v>
      </c>
      <c r="AD121" s="27">
        <v>45617</v>
      </c>
      <c r="AE121" s="19">
        <v>45621</v>
      </c>
      <c r="AF121" s="32" t="s">
        <v>152</v>
      </c>
      <c r="AH121" s="23" t="s">
        <v>65</v>
      </c>
      <c r="AI121" s="23" t="s">
        <v>77</v>
      </c>
      <c r="AK121" s="22">
        <v>56</v>
      </c>
      <c r="BB121" s="6">
        <v>40</v>
      </c>
      <c r="BC121" s="6">
        <v>16</v>
      </c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</row>
    <row r="122" spans="1:137" ht="36" customHeight="1" x14ac:dyDescent="0.25">
      <c r="A122" s="55">
        <v>45432</v>
      </c>
      <c r="B122" s="50" t="s">
        <v>560</v>
      </c>
      <c r="C122" s="57"/>
      <c r="D122" s="6" t="s">
        <v>36</v>
      </c>
      <c r="E122" s="6" t="s">
        <v>146</v>
      </c>
      <c r="H122" s="20"/>
      <c r="J122" s="21">
        <v>111071</v>
      </c>
      <c r="K122" s="23" t="s">
        <v>278</v>
      </c>
      <c r="L122" s="23" t="s">
        <v>558</v>
      </c>
      <c r="M122" s="23" t="s">
        <v>67</v>
      </c>
      <c r="N122" s="23" t="s">
        <v>164</v>
      </c>
      <c r="Q122" s="6" t="s">
        <v>474</v>
      </c>
      <c r="Z122" s="6" t="s">
        <v>72</v>
      </c>
      <c r="AA122" s="6" t="s">
        <v>474</v>
      </c>
      <c r="AB122" s="19">
        <v>45616</v>
      </c>
      <c r="AC122" s="27">
        <v>45561</v>
      </c>
      <c r="AD122" s="27">
        <v>45617</v>
      </c>
      <c r="AE122" s="19">
        <v>45621</v>
      </c>
      <c r="AF122" s="32" t="s">
        <v>152</v>
      </c>
      <c r="AH122" s="23" t="s">
        <v>65</v>
      </c>
      <c r="AI122" s="23" t="s">
        <v>77</v>
      </c>
      <c r="AK122" s="22">
        <v>56</v>
      </c>
      <c r="BB122" s="6">
        <v>40</v>
      </c>
      <c r="BC122" s="6">
        <v>16</v>
      </c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</row>
    <row r="123" spans="1:137" ht="36" customHeight="1" x14ac:dyDescent="0.25">
      <c r="A123" s="55">
        <v>45432</v>
      </c>
      <c r="B123" s="50" t="s">
        <v>550</v>
      </c>
      <c r="C123" s="57"/>
      <c r="D123" s="6" t="s">
        <v>36</v>
      </c>
      <c r="E123" s="6" t="s">
        <v>146</v>
      </c>
      <c r="H123" s="20"/>
      <c r="J123" s="21">
        <v>111083</v>
      </c>
      <c r="K123" s="23" t="s">
        <v>278</v>
      </c>
      <c r="L123" s="23" t="s">
        <v>538</v>
      </c>
      <c r="M123" s="23" t="s">
        <v>67</v>
      </c>
      <c r="N123" s="23" t="s">
        <v>164</v>
      </c>
      <c r="Q123" s="6" t="s">
        <v>474</v>
      </c>
      <c r="Z123" s="6" t="s">
        <v>72</v>
      </c>
      <c r="AA123" s="6" t="s">
        <v>474</v>
      </c>
      <c r="AB123" s="19">
        <v>45616</v>
      </c>
      <c r="AC123" s="27">
        <v>45526</v>
      </c>
      <c r="AD123" s="27">
        <v>45617</v>
      </c>
      <c r="AE123" s="19">
        <v>45621</v>
      </c>
      <c r="AF123" s="32" t="s">
        <v>152</v>
      </c>
      <c r="AI123" s="23" t="s">
        <v>77</v>
      </c>
      <c r="AK123" s="22">
        <v>192</v>
      </c>
      <c r="AY123" s="6">
        <v>35</v>
      </c>
      <c r="AZ123" s="6">
        <v>75</v>
      </c>
      <c r="BA123" s="6">
        <v>75</v>
      </c>
      <c r="BB123" s="6">
        <v>7</v>
      </c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</row>
    <row r="124" spans="1:137" ht="36" customHeight="1" x14ac:dyDescent="0.25">
      <c r="A124" s="55">
        <v>45490</v>
      </c>
      <c r="B124" s="50" t="s">
        <v>983</v>
      </c>
      <c r="C124" s="57"/>
      <c r="D124" s="29"/>
      <c r="E124" s="6" t="s">
        <v>146</v>
      </c>
      <c r="H124" s="20"/>
      <c r="J124" s="21">
        <v>114097</v>
      </c>
      <c r="K124" s="23" t="s">
        <v>278</v>
      </c>
      <c r="L124" s="23" t="s">
        <v>984</v>
      </c>
      <c r="M124" s="23" t="s">
        <v>985</v>
      </c>
      <c r="N124" s="23" t="s">
        <v>38</v>
      </c>
      <c r="Q124" s="6" t="s">
        <v>474</v>
      </c>
      <c r="AC124" s="27">
        <v>45623</v>
      </c>
      <c r="AD124" s="27"/>
      <c r="AE124" s="19">
        <v>45625</v>
      </c>
      <c r="AF124" s="32" t="s">
        <v>152</v>
      </c>
      <c r="AH124" s="23" t="s">
        <v>65</v>
      </c>
      <c r="AI124" s="23" t="s">
        <v>77</v>
      </c>
      <c r="AK124" s="22">
        <v>56</v>
      </c>
      <c r="BB124" s="4">
        <v>40</v>
      </c>
      <c r="BC124" s="6">
        <v>16</v>
      </c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</row>
    <row r="125" spans="1:137" ht="36" customHeight="1" x14ac:dyDescent="0.25">
      <c r="A125" s="55">
        <v>45490</v>
      </c>
      <c r="B125" s="50" t="s">
        <v>1017</v>
      </c>
      <c r="C125" s="57"/>
      <c r="D125" s="29"/>
      <c r="E125" s="6" t="s">
        <v>146</v>
      </c>
      <c r="H125" s="20"/>
      <c r="J125" s="21">
        <v>114110</v>
      </c>
      <c r="K125" s="23" t="s">
        <v>278</v>
      </c>
      <c r="L125" s="23" t="s">
        <v>984</v>
      </c>
      <c r="M125" s="23" t="s">
        <v>1018</v>
      </c>
      <c r="N125" s="23" t="s">
        <v>38</v>
      </c>
      <c r="Q125" s="6" t="s">
        <v>474</v>
      </c>
      <c r="AC125" s="27">
        <v>45623</v>
      </c>
      <c r="AD125" s="27"/>
      <c r="AE125" s="19">
        <v>45625</v>
      </c>
      <c r="AF125" s="32" t="s">
        <v>152</v>
      </c>
      <c r="AH125" s="23" t="s">
        <v>65</v>
      </c>
      <c r="AI125" s="23" t="s">
        <v>77</v>
      </c>
      <c r="AK125" s="22">
        <v>56</v>
      </c>
      <c r="BB125" s="4">
        <v>40</v>
      </c>
      <c r="BC125" s="4">
        <v>16</v>
      </c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</row>
    <row r="126" spans="1:137" ht="36" customHeight="1" x14ac:dyDescent="0.25">
      <c r="A126" s="55">
        <v>45448</v>
      </c>
      <c r="B126" s="50" t="s">
        <v>675</v>
      </c>
      <c r="C126" s="57"/>
      <c r="D126" s="6" t="s">
        <v>36</v>
      </c>
      <c r="E126" s="6" t="s">
        <v>146</v>
      </c>
      <c r="H126" s="20"/>
      <c r="J126" s="21">
        <v>112677</v>
      </c>
      <c r="K126" s="23" t="s">
        <v>278</v>
      </c>
      <c r="L126" s="23" t="s">
        <v>673</v>
      </c>
      <c r="M126" s="23" t="s">
        <v>674</v>
      </c>
      <c r="N126" s="23" t="s">
        <v>154</v>
      </c>
      <c r="Q126" s="6" t="s">
        <v>474</v>
      </c>
      <c r="Z126" s="6" t="s">
        <v>72</v>
      </c>
      <c r="AA126" s="6" t="s">
        <v>474</v>
      </c>
      <c r="AB126" s="19">
        <v>45630</v>
      </c>
      <c r="AC126" s="27">
        <v>45644</v>
      </c>
      <c r="AD126" s="27">
        <v>45631</v>
      </c>
      <c r="AE126" s="19">
        <v>45635</v>
      </c>
      <c r="AF126" s="32" t="s">
        <v>152</v>
      </c>
      <c r="AH126" s="23" t="s">
        <v>65</v>
      </c>
      <c r="AI126" s="23" t="s">
        <v>77</v>
      </c>
      <c r="AK126" s="22">
        <v>56</v>
      </c>
      <c r="AY126" s="6"/>
      <c r="AZ126" s="6"/>
      <c r="BB126" s="6">
        <v>40</v>
      </c>
      <c r="BC126" s="6">
        <v>16</v>
      </c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</row>
    <row r="127" spans="1:137" ht="36" customHeight="1" x14ac:dyDescent="0.25">
      <c r="A127" s="55">
        <v>45448</v>
      </c>
      <c r="B127" s="50" t="s">
        <v>678</v>
      </c>
      <c r="C127" s="57"/>
      <c r="D127" s="6" t="s">
        <v>36</v>
      </c>
      <c r="E127" s="6" t="s">
        <v>146</v>
      </c>
      <c r="H127" s="20"/>
      <c r="J127" s="21">
        <v>112678</v>
      </c>
      <c r="K127" s="23" t="s">
        <v>278</v>
      </c>
      <c r="L127" s="23" t="s">
        <v>676</v>
      </c>
      <c r="M127" s="23" t="s">
        <v>677</v>
      </c>
      <c r="N127" s="23" t="s">
        <v>154</v>
      </c>
      <c r="Q127" s="6" t="s">
        <v>474</v>
      </c>
      <c r="Z127" s="6" t="s">
        <v>72</v>
      </c>
      <c r="AA127" s="6" t="s">
        <v>474</v>
      </c>
      <c r="AB127" s="19">
        <v>45630</v>
      </c>
      <c r="AC127" s="27">
        <v>45658</v>
      </c>
      <c r="AD127" s="27">
        <v>45631</v>
      </c>
      <c r="AE127" s="19">
        <v>45635</v>
      </c>
      <c r="AF127" s="32" t="s">
        <v>152</v>
      </c>
      <c r="AH127" s="23" t="s">
        <v>65</v>
      </c>
      <c r="AI127" s="23" t="s">
        <v>77</v>
      </c>
      <c r="AK127" s="22">
        <v>56</v>
      </c>
      <c r="AY127" s="6"/>
      <c r="AZ127" s="6"/>
      <c r="BC127" s="6">
        <v>40</v>
      </c>
      <c r="BD127" s="6">
        <v>16</v>
      </c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</row>
    <row r="128" spans="1:137" ht="36" customHeight="1" x14ac:dyDescent="0.25">
      <c r="A128" s="55">
        <v>45460</v>
      </c>
      <c r="B128" s="50" t="s">
        <v>826</v>
      </c>
      <c r="C128" s="57"/>
      <c r="D128" s="6" t="s">
        <v>36</v>
      </c>
      <c r="E128" s="6" t="s">
        <v>146</v>
      </c>
      <c r="G128" s="6" t="s">
        <v>163</v>
      </c>
      <c r="H128" s="20"/>
      <c r="J128" s="21">
        <v>111720</v>
      </c>
      <c r="K128" s="23" t="s">
        <v>252</v>
      </c>
      <c r="L128" s="23" t="s">
        <v>762</v>
      </c>
      <c r="M128" s="23" t="s">
        <v>258</v>
      </c>
      <c r="N128" s="23" t="s">
        <v>38</v>
      </c>
      <c r="Q128" s="23" t="s">
        <v>711</v>
      </c>
      <c r="R128" s="19" t="s">
        <v>624</v>
      </c>
      <c r="S128" s="19">
        <v>45470</v>
      </c>
      <c r="T128" s="19">
        <v>45471</v>
      </c>
      <c r="U128" s="19">
        <v>45470</v>
      </c>
      <c r="V128" s="19">
        <f>+U128</f>
        <v>45470</v>
      </c>
      <c r="W128" s="19">
        <v>45474</v>
      </c>
      <c r="X128" s="19">
        <v>45475</v>
      </c>
      <c r="Z128" s="6" t="s">
        <v>67</v>
      </c>
      <c r="AA128" s="19">
        <v>45545</v>
      </c>
      <c r="AB128" s="19">
        <v>45630</v>
      </c>
      <c r="AC128" s="27">
        <v>45631</v>
      </c>
      <c r="AD128" s="27"/>
      <c r="AE128" s="19">
        <v>45636</v>
      </c>
      <c r="AF128" s="23" t="s">
        <v>149</v>
      </c>
      <c r="AG128" s="23" t="s">
        <v>165</v>
      </c>
      <c r="AH128" s="30" t="s">
        <v>78</v>
      </c>
      <c r="AI128" s="23" t="s">
        <v>64</v>
      </c>
      <c r="AJ128" s="46"/>
      <c r="AK128" s="22">
        <v>50</v>
      </c>
      <c r="AY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</row>
    <row r="129" spans="1:137" ht="36" customHeight="1" x14ac:dyDescent="0.25">
      <c r="A129" s="55">
        <v>45460</v>
      </c>
      <c r="B129" s="21" t="s">
        <v>825</v>
      </c>
      <c r="C129" s="57"/>
      <c r="D129" s="6" t="s">
        <v>35</v>
      </c>
      <c r="E129" s="6" t="s">
        <v>146</v>
      </c>
      <c r="G129" s="6" t="s">
        <v>163</v>
      </c>
      <c r="H129" s="20"/>
      <c r="J129" s="21">
        <v>111683</v>
      </c>
      <c r="K129" s="23" t="s">
        <v>252</v>
      </c>
      <c r="L129" s="23" t="s">
        <v>760</v>
      </c>
      <c r="M129" s="23" t="s">
        <v>253</v>
      </c>
      <c r="N129" s="23" t="s">
        <v>38</v>
      </c>
      <c r="Q129" s="23" t="s">
        <v>755</v>
      </c>
      <c r="R129" s="28" t="s">
        <v>624</v>
      </c>
      <c r="S129" s="19">
        <v>45470</v>
      </c>
      <c r="T129" s="19">
        <v>45489</v>
      </c>
      <c r="U129" s="19">
        <v>45502</v>
      </c>
      <c r="V129" s="19">
        <f>+U129</f>
        <v>45502</v>
      </c>
      <c r="W129" s="19">
        <v>45513</v>
      </c>
      <c r="X129" s="19">
        <v>45537</v>
      </c>
      <c r="Z129" s="6" t="s">
        <v>67</v>
      </c>
      <c r="AA129" s="19">
        <v>45538</v>
      </c>
      <c r="AB129" s="27">
        <v>45631</v>
      </c>
      <c r="AC129" s="27">
        <v>45632</v>
      </c>
      <c r="AD129" s="27"/>
      <c r="AE129" s="19">
        <v>45636</v>
      </c>
      <c r="AF129" s="23" t="s">
        <v>149</v>
      </c>
      <c r="AG129" s="23" t="s">
        <v>165</v>
      </c>
      <c r="AH129" s="30" t="s">
        <v>78</v>
      </c>
      <c r="AI129" s="23" t="s">
        <v>69</v>
      </c>
      <c r="AJ129" s="23" t="s">
        <v>972</v>
      </c>
      <c r="AK129" s="22">
        <v>480</v>
      </c>
      <c r="AL129" s="6">
        <v>50</v>
      </c>
      <c r="AM129" s="6">
        <v>60</v>
      </c>
      <c r="AN129" s="6">
        <v>60</v>
      </c>
      <c r="AO129" s="6">
        <v>60</v>
      </c>
      <c r="AP129" s="6">
        <v>50</v>
      </c>
      <c r="AQ129" s="6">
        <v>50</v>
      </c>
      <c r="AY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</row>
    <row r="130" spans="1:137" ht="36" customHeight="1" x14ac:dyDescent="0.25">
      <c r="A130" s="55">
        <v>45490</v>
      </c>
      <c r="B130" s="50" t="s">
        <v>986</v>
      </c>
      <c r="C130" s="57"/>
      <c r="D130" s="29"/>
      <c r="E130" s="6" t="s">
        <v>146</v>
      </c>
      <c r="H130" s="20"/>
      <c r="J130" s="21">
        <v>114098</v>
      </c>
      <c r="K130" s="23" t="s">
        <v>278</v>
      </c>
      <c r="L130" s="23" t="s">
        <v>987</v>
      </c>
      <c r="M130" s="23" t="s">
        <v>988</v>
      </c>
      <c r="N130" s="23" t="s">
        <v>38</v>
      </c>
      <c r="Q130" s="6" t="s">
        <v>474</v>
      </c>
      <c r="AC130" s="27">
        <v>45637</v>
      </c>
      <c r="AD130" s="27"/>
      <c r="AE130" s="19">
        <v>45639</v>
      </c>
      <c r="AF130" s="32" t="s">
        <v>152</v>
      </c>
      <c r="AH130" s="23" t="s">
        <v>65</v>
      </c>
      <c r="AI130" s="23" t="s">
        <v>77</v>
      </c>
      <c r="AK130" s="22">
        <v>56</v>
      </c>
      <c r="BD130" s="4">
        <v>40</v>
      </c>
      <c r="BE130" s="6">
        <v>16</v>
      </c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</row>
    <row r="131" spans="1:137" ht="36" customHeight="1" x14ac:dyDescent="0.25">
      <c r="A131" s="55">
        <v>45490</v>
      </c>
      <c r="B131" s="50" t="s">
        <v>1019</v>
      </c>
      <c r="C131" s="57"/>
      <c r="D131" s="29"/>
      <c r="E131" s="6" t="s">
        <v>146</v>
      </c>
      <c r="H131" s="20"/>
      <c r="J131" s="21">
        <v>114111</v>
      </c>
      <c r="K131" s="23" t="s">
        <v>278</v>
      </c>
      <c r="L131" s="23" t="s">
        <v>987</v>
      </c>
      <c r="M131" s="23" t="s">
        <v>1020</v>
      </c>
      <c r="N131" s="23" t="s">
        <v>38</v>
      </c>
      <c r="Q131" s="6" t="s">
        <v>474</v>
      </c>
      <c r="AC131" s="27">
        <v>45637</v>
      </c>
      <c r="AD131" s="27"/>
      <c r="AE131" s="19">
        <v>45639</v>
      </c>
      <c r="AF131" s="32" t="s">
        <v>152</v>
      </c>
      <c r="AH131" s="23" t="s">
        <v>65</v>
      </c>
      <c r="AI131" s="23" t="s">
        <v>77</v>
      </c>
      <c r="AK131" s="22">
        <v>56</v>
      </c>
      <c r="BE131" s="4">
        <v>40</v>
      </c>
      <c r="BF131" s="4">
        <v>16</v>
      </c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</row>
    <row r="132" spans="1:137" ht="36" customHeight="1" x14ac:dyDescent="0.25">
      <c r="A132" s="55">
        <v>45432</v>
      </c>
      <c r="B132" s="50" t="s">
        <v>562</v>
      </c>
      <c r="C132" s="57"/>
      <c r="D132" s="6" t="s">
        <v>36</v>
      </c>
      <c r="E132" s="6" t="s">
        <v>146</v>
      </c>
      <c r="H132" s="20"/>
      <c r="J132" s="21">
        <v>111072</v>
      </c>
      <c r="K132" s="23" t="s">
        <v>278</v>
      </c>
      <c r="L132" s="23" t="s">
        <v>561</v>
      </c>
      <c r="M132" s="23" t="s">
        <v>67</v>
      </c>
      <c r="N132" s="23" t="s">
        <v>164</v>
      </c>
      <c r="Q132" s="6" t="s">
        <v>474</v>
      </c>
      <c r="Z132" s="6" t="s">
        <v>72</v>
      </c>
      <c r="AA132" s="6" t="s">
        <v>474</v>
      </c>
      <c r="AB132" s="19">
        <v>45637</v>
      </c>
      <c r="AC132" s="27">
        <v>45582</v>
      </c>
      <c r="AD132" s="27">
        <v>45638</v>
      </c>
      <c r="AE132" s="19">
        <v>45642</v>
      </c>
      <c r="AF132" s="32" t="s">
        <v>152</v>
      </c>
      <c r="AH132" s="23" t="s">
        <v>65</v>
      </c>
      <c r="AI132" s="23" t="s">
        <v>77</v>
      </c>
      <c r="AK132" s="22">
        <v>56</v>
      </c>
      <c r="BC132" s="6">
        <v>40</v>
      </c>
      <c r="BD132" s="6">
        <v>16</v>
      </c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</row>
    <row r="133" spans="1:137" ht="36" customHeight="1" x14ac:dyDescent="0.25">
      <c r="A133" s="55">
        <v>45432</v>
      </c>
      <c r="B133" s="50" t="s">
        <v>570</v>
      </c>
      <c r="C133" s="57"/>
      <c r="D133" s="6" t="s">
        <v>36</v>
      </c>
      <c r="E133" s="6" t="s">
        <v>146</v>
      </c>
      <c r="H133" s="20"/>
      <c r="J133" s="21">
        <v>111073</v>
      </c>
      <c r="K133" s="23" t="s">
        <v>278</v>
      </c>
      <c r="L133" s="23" t="s">
        <v>563</v>
      </c>
      <c r="M133" s="23" t="s">
        <v>67</v>
      </c>
      <c r="N133" s="23" t="s">
        <v>164</v>
      </c>
      <c r="Q133" s="6" t="s">
        <v>474</v>
      </c>
      <c r="Z133" s="6" t="s">
        <v>72</v>
      </c>
      <c r="AA133" s="6" t="s">
        <v>474</v>
      </c>
      <c r="AB133" s="19">
        <v>45637</v>
      </c>
      <c r="AC133" s="27">
        <v>45582</v>
      </c>
      <c r="AD133" s="27">
        <v>45638</v>
      </c>
      <c r="AE133" s="19">
        <v>45642</v>
      </c>
      <c r="AF133" s="32" t="s">
        <v>152</v>
      </c>
      <c r="AH133" s="23" t="s">
        <v>65</v>
      </c>
      <c r="AI133" s="23" t="s">
        <v>77</v>
      </c>
      <c r="AK133" s="22">
        <v>56</v>
      </c>
      <c r="BC133" s="6">
        <v>40</v>
      </c>
      <c r="BD133" s="6">
        <v>16</v>
      </c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</row>
    <row r="134" spans="1:137" ht="36" customHeight="1" x14ac:dyDescent="0.25">
      <c r="A134" s="55">
        <v>45432</v>
      </c>
      <c r="B134" s="50" t="s">
        <v>559</v>
      </c>
      <c r="C134" s="57"/>
      <c r="D134" s="6" t="s">
        <v>36</v>
      </c>
      <c r="E134" s="6" t="s">
        <v>146</v>
      </c>
      <c r="H134" s="20"/>
      <c r="J134" s="21">
        <v>111085</v>
      </c>
      <c r="K134" s="23" t="s">
        <v>278</v>
      </c>
      <c r="L134" s="23" t="s">
        <v>612</v>
      </c>
      <c r="M134" s="23" t="s">
        <v>67</v>
      </c>
      <c r="N134" s="23" t="s">
        <v>164</v>
      </c>
      <c r="Q134" s="6" t="s">
        <v>474</v>
      </c>
      <c r="Z134" s="6" t="s">
        <v>72</v>
      </c>
      <c r="AA134" s="6" t="s">
        <v>474</v>
      </c>
      <c r="AB134" s="19">
        <v>45637</v>
      </c>
      <c r="AC134" s="27">
        <v>45547</v>
      </c>
      <c r="AD134" s="27">
        <v>45638</v>
      </c>
      <c r="AE134" s="19">
        <v>45642</v>
      </c>
      <c r="AF134" s="32" t="s">
        <v>152</v>
      </c>
      <c r="AH134" s="23" t="s">
        <v>65</v>
      </c>
      <c r="AI134" s="23" t="s">
        <v>77</v>
      </c>
      <c r="AK134" s="22">
        <v>56</v>
      </c>
      <c r="BD134" s="6">
        <v>40</v>
      </c>
      <c r="BE134" s="6">
        <v>16</v>
      </c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</row>
    <row r="135" spans="1:137" ht="36" customHeight="1" x14ac:dyDescent="0.25">
      <c r="A135" s="55">
        <v>45432</v>
      </c>
      <c r="B135" s="50" t="s">
        <v>572</v>
      </c>
      <c r="C135" s="57"/>
      <c r="D135" s="6" t="s">
        <v>36</v>
      </c>
      <c r="E135" s="6" t="s">
        <v>146</v>
      </c>
      <c r="H135" s="20"/>
      <c r="J135" s="21">
        <v>111074</v>
      </c>
      <c r="K135" s="23" t="s">
        <v>278</v>
      </c>
      <c r="L135" s="23" t="s">
        <v>571</v>
      </c>
      <c r="M135" s="23" t="s">
        <v>67</v>
      </c>
      <c r="N135" s="23" t="s">
        <v>164</v>
      </c>
      <c r="Q135" s="6" t="s">
        <v>474</v>
      </c>
      <c r="Z135" s="6" t="s">
        <v>72</v>
      </c>
      <c r="AA135" s="6" t="s">
        <v>474</v>
      </c>
      <c r="AB135" s="19">
        <v>45644</v>
      </c>
      <c r="AC135" s="27">
        <v>45603</v>
      </c>
      <c r="AD135" s="27">
        <v>45645</v>
      </c>
      <c r="AE135" s="19">
        <v>45649</v>
      </c>
      <c r="AF135" s="32" t="s">
        <v>152</v>
      </c>
      <c r="AH135" s="23" t="s">
        <v>65</v>
      </c>
      <c r="AI135" s="23" t="s">
        <v>77</v>
      </c>
      <c r="AK135" s="22">
        <v>56</v>
      </c>
      <c r="AY135" s="6"/>
      <c r="AZ135" s="6"/>
      <c r="BD135" s="6">
        <v>40</v>
      </c>
      <c r="BE135" s="6">
        <v>16</v>
      </c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</row>
    <row r="136" spans="1:137" ht="36" customHeight="1" x14ac:dyDescent="0.25">
      <c r="A136" s="55">
        <v>45432</v>
      </c>
      <c r="B136" s="50" t="s">
        <v>578</v>
      </c>
      <c r="C136" s="57"/>
      <c r="D136" s="6" t="s">
        <v>36</v>
      </c>
      <c r="E136" s="6" t="s">
        <v>146</v>
      </c>
      <c r="H136" s="20"/>
      <c r="J136" s="21">
        <v>111075</v>
      </c>
      <c r="K136" s="23" t="s">
        <v>278</v>
      </c>
      <c r="L136" s="23" t="s">
        <v>573</v>
      </c>
      <c r="M136" s="23" t="s">
        <v>67</v>
      </c>
      <c r="N136" s="23" t="s">
        <v>164</v>
      </c>
      <c r="Q136" s="6" t="s">
        <v>474</v>
      </c>
      <c r="Z136" s="6" t="s">
        <v>72</v>
      </c>
      <c r="AA136" s="6" t="s">
        <v>474</v>
      </c>
      <c r="AB136" s="19">
        <v>45644</v>
      </c>
      <c r="AC136" s="27">
        <v>45603</v>
      </c>
      <c r="AD136" s="27">
        <v>45645</v>
      </c>
      <c r="AE136" s="19">
        <v>45649</v>
      </c>
      <c r="AF136" s="32" t="s">
        <v>152</v>
      </c>
      <c r="AH136" s="23" t="s">
        <v>65</v>
      </c>
      <c r="AI136" s="23" t="s">
        <v>77</v>
      </c>
      <c r="AK136" s="22">
        <v>56</v>
      </c>
      <c r="AY136" s="6"/>
      <c r="AZ136" s="6"/>
      <c r="BD136" s="6">
        <v>40</v>
      </c>
      <c r="BE136" s="6">
        <v>16</v>
      </c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</row>
    <row r="137" spans="1:137" ht="36" customHeight="1" x14ac:dyDescent="0.25">
      <c r="A137" s="55">
        <v>45432</v>
      </c>
      <c r="B137" s="50" t="s">
        <v>564</v>
      </c>
      <c r="C137" s="57"/>
      <c r="D137" s="6" t="s">
        <v>36</v>
      </c>
      <c r="E137" s="6" t="s">
        <v>146</v>
      </c>
      <c r="H137" s="20"/>
      <c r="J137" s="21">
        <v>111086</v>
      </c>
      <c r="K137" s="23" t="s">
        <v>278</v>
      </c>
      <c r="L137" s="23" t="s">
        <v>556</v>
      </c>
      <c r="M137" s="23" t="s">
        <v>67</v>
      </c>
      <c r="N137" s="23" t="s">
        <v>164</v>
      </c>
      <c r="Q137" s="6" t="s">
        <v>474</v>
      </c>
      <c r="Z137" s="6" t="s">
        <v>72</v>
      </c>
      <c r="AA137" s="6" t="s">
        <v>474</v>
      </c>
      <c r="AB137" s="19">
        <v>45644</v>
      </c>
      <c r="AC137" s="27">
        <v>45561</v>
      </c>
      <c r="AD137" s="27">
        <v>45645</v>
      </c>
      <c r="AE137" s="19">
        <v>45649</v>
      </c>
      <c r="AF137" s="32" t="s">
        <v>152</v>
      </c>
      <c r="AH137" s="23" t="s">
        <v>65</v>
      </c>
      <c r="AI137" s="23" t="s">
        <v>77</v>
      </c>
      <c r="AK137" s="22">
        <v>56</v>
      </c>
      <c r="AY137" s="6"/>
      <c r="BE137" s="6">
        <v>40</v>
      </c>
      <c r="BF137" s="6">
        <v>16</v>
      </c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</row>
    <row r="138" spans="1:137" ht="36" customHeight="1" x14ac:dyDescent="0.25">
      <c r="A138" s="55">
        <v>45448</v>
      </c>
      <c r="B138" s="50" t="s">
        <v>681</v>
      </c>
      <c r="C138" s="57"/>
      <c r="D138" s="6" t="s">
        <v>36</v>
      </c>
      <c r="E138" s="6" t="s">
        <v>146</v>
      </c>
      <c r="H138" s="20"/>
      <c r="J138" s="21">
        <v>112679</v>
      </c>
      <c r="K138" s="23" t="s">
        <v>278</v>
      </c>
      <c r="L138" s="23" t="s">
        <v>679</v>
      </c>
      <c r="M138" s="23" t="s">
        <v>680</v>
      </c>
      <c r="N138" s="23" t="s">
        <v>154</v>
      </c>
      <c r="Q138" s="6" t="s">
        <v>474</v>
      </c>
      <c r="Z138" s="6" t="s">
        <v>72</v>
      </c>
      <c r="AA138" s="6" t="s">
        <v>474</v>
      </c>
      <c r="AB138" s="19">
        <v>45644</v>
      </c>
      <c r="AC138" s="27">
        <v>45672</v>
      </c>
      <c r="AD138" s="27">
        <v>45645</v>
      </c>
      <c r="AE138" s="19">
        <v>45649</v>
      </c>
      <c r="AF138" s="32" t="s">
        <v>152</v>
      </c>
      <c r="AH138" s="23" t="s">
        <v>65</v>
      </c>
      <c r="AI138" s="23" t="s">
        <v>77</v>
      </c>
      <c r="AK138" s="22">
        <v>56</v>
      </c>
      <c r="AY138" s="6"/>
      <c r="BE138" s="6">
        <v>40</v>
      </c>
      <c r="BF138" s="6">
        <v>16</v>
      </c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</row>
    <row r="139" spans="1:137" ht="36" customHeight="1" x14ac:dyDescent="0.25">
      <c r="A139" s="55">
        <v>45448</v>
      </c>
      <c r="B139" s="50" t="s">
        <v>761</v>
      </c>
      <c r="C139" s="57"/>
      <c r="D139" s="6" t="s">
        <v>36</v>
      </c>
      <c r="E139" s="6" t="s">
        <v>146</v>
      </c>
      <c r="H139" s="20"/>
      <c r="J139" s="21">
        <v>112680</v>
      </c>
      <c r="K139" s="23" t="s">
        <v>278</v>
      </c>
      <c r="L139" s="23" t="s">
        <v>682</v>
      </c>
      <c r="M139" s="23" t="s">
        <v>683</v>
      </c>
      <c r="N139" s="23" t="s">
        <v>154</v>
      </c>
      <c r="Q139" s="6" t="s">
        <v>474</v>
      </c>
      <c r="Z139" s="6" t="s">
        <v>72</v>
      </c>
      <c r="AA139" s="6" t="s">
        <v>474</v>
      </c>
      <c r="AB139" s="19">
        <v>45644</v>
      </c>
      <c r="AC139" s="27">
        <v>45686</v>
      </c>
      <c r="AD139" s="27">
        <v>45645</v>
      </c>
      <c r="AE139" s="19">
        <v>45649</v>
      </c>
      <c r="AF139" s="32" t="s">
        <v>152</v>
      </c>
      <c r="AH139" s="23" t="s">
        <v>65</v>
      </c>
      <c r="AI139" s="23" t="s">
        <v>77</v>
      </c>
      <c r="AK139" s="22">
        <v>56</v>
      </c>
      <c r="AY139" s="6"/>
      <c r="BE139" s="6">
        <v>40</v>
      </c>
      <c r="BF139" s="6">
        <v>16</v>
      </c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</row>
    <row r="140" spans="1:137" ht="36" customHeight="1" x14ac:dyDescent="0.25">
      <c r="A140" s="55">
        <v>45462</v>
      </c>
      <c r="B140" s="50" t="s">
        <v>783</v>
      </c>
      <c r="C140" s="57"/>
      <c r="D140" s="6" t="s">
        <v>36</v>
      </c>
      <c r="E140" s="6" t="s">
        <v>146</v>
      </c>
      <c r="H140" s="20"/>
      <c r="J140" s="21">
        <v>113225</v>
      </c>
      <c r="K140" s="23" t="s">
        <v>278</v>
      </c>
      <c r="L140" s="23" t="s">
        <v>733</v>
      </c>
      <c r="M140" s="23" t="s">
        <v>780</v>
      </c>
      <c r="N140" s="23" t="s">
        <v>164</v>
      </c>
      <c r="Q140" s="6" t="s">
        <v>474</v>
      </c>
      <c r="Y140" s="6" t="s">
        <v>474</v>
      </c>
      <c r="Z140" s="6" t="s">
        <v>72</v>
      </c>
      <c r="AA140" s="6" t="s">
        <v>474</v>
      </c>
      <c r="AB140" s="19">
        <v>45644</v>
      </c>
      <c r="AC140" s="27">
        <v>45649</v>
      </c>
      <c r="AD140" s="27">
        <v>45645</v>
      </c>
      <c r="AE140" s="27">
        <v>45649</v>
      </c>
      <c r="AF140" s="32" t="s">
        <v>152</v>
      </c>
      <c r="AH140" s="23" t="s">
        <v>65</v>
      </c>
      <c r="AI140" s="23" t="s">
        <v>77</v>
      </c>
      <c r="AK140" s="22">
        <v>56</v>
      </c>
      <c r="AY140" s="6"/>
      <c r="BF140" s="6">
        <v>40</v>
      </c>
      <c r="BG140" s="6">
        <v>16</v>
      </c>
      <c r="BN140" s="6"/>
      <c r="BO140" s="6"/>
      <c r="BP140" s="6"/>
      <c r="BQ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</row>
    <row r="141" spans="1:137" ht="36" customHeight="1" x14ac:dyDescent="0.25">
      <c r="A141" s="55">
        <v>45490</v>
      </c>
      <c r="B141" s="50" t="s">
        <v>989</v>
      </c>
      <c r="C141" s="57"/>
      <c r="D141" s="29"/>
      <c r="E141" s="6" t="s">
        <v>146</v>
      </c>
      <c r="H141" s="20"/>
      <c r="J141" s="21">
        <v>114100</v>
      </c>
      <c r="K141" s="23" t="s">
        <v>278</v>
      </c>
      <c r="L141" s="23" t="s">
        <v>990</v>
      </c>
      <c r="M141" s="23" t="s">
        <v>991</v>
      </c>
      <c r="N141" s="23" t="s">
        <v>38</v>
      </c>
      <c r="Q141" s="6" t="s">
        <v>474</v>
      </c>
      <c r="AC141" s="27">
        <v>45649</v>
      </c>
      <c r="AD141" s="27"/>
      <c r="AE141" s="19">
        <v>45653</v>
      </c>
      <c r="AF141" s="32" t="s">
        <v>152</v>
      </c>
      <c r="AH141" s="23" t="s">
        <v>65</v>
      </c>
      <c r="AI141" s="23" t="s">
        <v>77</v>
      </c>
      <c r="AK141" s="22">
        <v>56</v>
      </c>
      <c r="BF141" s="4">
        <v>40</v>
      </c>
      <c r="BG141" s="6">
        <v>16</v>
      </c>
      <c r="DX141" s="6"/>
      <c r="DY141" s="6"/>
      <c r="DZ141" s="6"/>
      <c r="EA141" s="6"/>
      <c r="EB141" s="6"/>
      <c r="EC141" s="6"/>
      <c r="ED141" s="6"/>
      <c r="EE141" s="6"/>
      <c r="EF141" s="6"/>
      <c r="EG141" s="6"/>
    </row>
    <row r="142" spans="1:137" ht="36" customHeight="1" x14ac:dyDescent="0.25">
      <c r="A142" s="55">
        <v>45490</v>
      </c>
      <c r="B142" s="50" t="s">
        <v>1021</v>
      </c>
      <c r="C142" s="57"/>
      <c r="D142" s="29"/>
      <c r="E142" s="6" t="s">
        <v>146</v>
      </c>
      <c r="H142" s="20"/>
      <c r="J142" s="21">
        <v>114112</v>
      </c>
      <c r="K142" s="23" t="s">
        <v>278</v>
      </c>
      <c r="L142" s="23" t="s">
        <v>990</v>
      </c>
      <c r="M142" s="23" t="s">
        <v>1022</v>
      </c>
      <c r="N142" s="23" t="s">
        <v>38</v>
      </c>
      <c r="Q142" s="6" t="s">
        <v>474</v>
      </c>
      <c r="AC142" s="27">
        <v>45651</v>
      </c>
      <c r="AD142" s="27"/>
      <c r="AE142" s="19">
        <v>45653</v>
      </c>
      <c r="AF142" s="32" t="s">
        <v>152</v>
      </c>
      <c r="AH142" s="23" t="s">
        <v>65</v>
      </c>
      <c r="AI142" s="23" t="s">
        <v>77</v>
      </c>
      <c r="AK142" s="22">
        <v>56</v>
      </c>
      <c r="BF142" s="4">
        <v>40</v>
      </c>
      <c r="BG142" s="4">
        <v>16</v>
      </c>
      <c r="DX142" s="6"/>
      <c r="DY142" s="6"/>
      <c r="DZ142" s="6"/>
      <c r="EA142" s="6"/>
      <c r="EB142" s="6"/>
      <c r="EC142" s="6"/>
      <c r="ED142" s="6"/>
      <c r="EE142" s="6"/>
      <c r="EF142" s="6"/>
      <c r="EG142" s="6"/>
    </row>
    <row r="143" spans="1:137" ht="36" customHeight="1" x14ac:dyDescent="0.25">
      <c r="A143" s="55">
        <v>45490</v>
      </c>
      <c r="B143" s="50" t="s">
        <v>992</v>
      </c>
      <c r="C143" s="57"/>
      <c r="D143" s="29"/>
      <c r="E143" s="6" t="s">
        <v>146</v>
      </c>
      <c r="H143" s="20"/>
      <c r="J143" s="21">
        <v>114101</v>
      </c>
      <c r="K143" s="23" t="s">
        <v>278</v>
      </c>
      <c r="L143" s="23" t="s">
        <v>993</v>
      </c>
      <c r="M143" s="23" t="s">
        <v>994</v>
      </c>
      <c r="N143" s="23" t="s">
        <v>38</v>
      </c>
      <c r="Q143" s="6" t="s">
        <v>474</v>
      </c>
      <c r="AC143" s="27">
        <v>45665</v>
      </c>
      <c r="AD143" s="27"/>
      <c r="AE143" s="19">
        <v>45667</v>
      </c>
      <c r="AF143" s="32" t="s">
        <v>152</v>
      </c>
      <c r="AH143" s="23" t="s">
        <v>65</v>
      </c>
      <c r="AI143" s="23" t="s">
        <v>77</v>
      </c>
      <c r="AK143" s="22">
        <v>56</v>
      </c>
      <c r="BH143" s="4">
        <v>40</v>
      </c>
      <c r="BI143" s="6">
        <v>16</v>
      </c>
      <c r="DX143" s="6"/>
      <c r="DY143" s="6"/>
      <c r="DZ143" s="6"/>
      <c r="EA143" s="6"/>
      <c r="EB143" s="6"/>
      <c r="EC143" s="6"/>
      <c r="ED143" s="6"/>
      <c r="EE143" s="6"/>
      <c r="EF143" s="6"/>
      <c r="EG143" s="6"/>
    </row>
    <row r="144" spans="1:137" ht="36" customHeight="1" x14ac:dyDescent="0.25">
      <c r="A144" s="55">
        <v>45490</v>
      </c>
      <c r="B144" s="50" t="s">
        <v>1023</v>
      </c>
      <c r="C144" s="57"/>
      <c r="D144" s="29"/>
      <c r="E144" s="6" t="s">
        <v>146</v>
      </c>
      <c r="H144" s="20"/>
      <c r="J144" s="21">
        <v>114113</v>
      </c>
      <c r="K144" s="23" t="s">
        <v>278</v>
      </c>
      <c r="L144" s="23" t="s">
        <v>993</v>
      </c>
      <c r="M144" s="23" t="s">
        <v>1024</v>
      </c>
      <c r="N144" s="23" t="s">
        <v>38</v>
      </c>
      <c r="Q144" s="6" t="s">
        <v>474</v>
      </c>
      <c r="AC144" s="27">
        <v>45665</v>
      </c>
      <c r="AD144" s="27"/>
      <c r="AE144" s="19">
        <v>45667</v>
      </c>
      <c r="AF144" s="32" t="s">
        <v>152</v>
      </c>
      <c r="AH144" s="23" t="s">
        <v>65</v>
      </c>
      <c r="AI144" s="23" t="s">
        <v>77</v>
      </c>
      <c r="AK144" s="22">
        <v>56</v>
      </c>
      <c r="BH144" s="4">
        <v>40</v>
      </c>
      <c r="BI144" s="4">
        <v>16</v>
      </c>
      <c r="DX144" s="6"/>
      <c r="DY144" s="6"/>
      <c r="DZ144" s="6"/>
      <c r="EA144" s="6"/>
      <c r="EB144" s="6"/>
      <c r="EC144" s="6"/>
      <c r="ED144" s="6"/>
      <c r="EE144" s="6"/>
      <c r="EF144" s="6"/>
      <c r="EG144" s="6"/>
    </row>
    <row r="145" spans="1:137" ht="36" customHeight="1" x14ac:dyDescent="0.25">
      <c r="A145" s="55">
        <v>45432</v>
      </c>
      <c r="B145" s="50" t="s">
        <v>580</v>
      </c>
      <c r="C145" s="57"/>
      <c r="D145" s="6" t="s">
        <v>36</v>
      </c>
      <c r="E145" s="6" t="s">
        <v>146</v>
      </c>
      <c r="H145" s="20"/>
      <c r="J145" s="21">
        <v>107545</v>
      </c>
      <c r="K145" s="23" t="s">
        <v>278</v>
      </c>
      <c r="L145" s="23" t="s">
        <v>581</v>
      </c>
      <c r="M145" s="23" t="s">
        <v>67</v>
      </c>
      <c r="N145" s="23" t="s">
        <v>164</v>
      </c>
      <c r="Q145" s="6" t="s">
        <v>474</v>
      </c>
      <c r="Z145" s="6" t="s">
        <v>72</v>
      </c>
      <c r="AA145" s="6" t="s">
        <v>474</v>
      </c>
      <c r="AB145" s="19">
        <v>45671</v>
      </c>
      <c r="AC145" s="27">
        <v>45672</v>
      </c>
      <c r="AD145" s="27"/>
      <c r="AE145" s="19">
        <v>45677</v>
      </c>
      <c r="AF145" s="32" t="s">
        <v>152</v>
      </c>
      <c r="AH145" s="23" t="s">
        <v>65</v>
      </c>
      <c r="AI145" s="23" t="s">
        <v>77</v>
      </c>
      <c r="AK145" s="22">
        <v>56</v>
      </c>
      <c r="AZ145" s="6"/>
      <c r="BG145" s="6">
        <v>40</v>
      </c>
      <c r="BH145" s="6">
        <v>16</v>
      </c>
      <c r="BI145" s="6"/>
      <c r="BJ145" s="6"/>
      <c r="BK145" s="6"/>
      <c r="BL145" s="6"/>
      <c r="BM145" s="6"/>
      <c r="BN145" s="6"/>
      <c r="BO145" s="6"/>
      <c r="BP145" s="6"/>
      <c r="BQ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</row>
    <row r="146" spans="1:137" ht="36" customHeight="1" x14ac:dyDescent="0.25">
      <c r="A146" s="55">
        <v>45432</v>
      </c>
      <c r="B146" s="50" t="s">
        <v>582</v>
      </c>
      <c r="C146" s="57"/>
      <c r="D146" s="6" t="s">
        <v>36</v>
      </c>
      <c r="E146" s="6" t="s">
        <v>146</v>
      </c>
      <c r="H146" s="20"/>
      <c r="J146" s="21">
        <v>107547</v>
      </c>
      <c r="K146" s="23" t="s">
        <v>278</v>
      </c>
      <c r="L146" s="23" t="s">
        <v>583</v>
      </c>
      <c r="M146" s="23" t="s">
        <v>67</v>
      </c>
      <c r="N146" s="23" t="s">
        <v>164</v>
      </c>
      <c r="Q146" s="6" t="s">
        <v>474</v>
      </c>
      <c r="Z146" s="6" t="s">
        <v>72</v>
      </c>
      <c r="AA146" s="6" t="s">
        <v>474</v>
      </c>
      <c r="AB146" s="19">
        <v>45671</v>
      </c>
      <c r="AC146" s="27">
        <v>45672</v>
      </c>
      <c r="AD146" s="27"/>
      <c r="AE146" s="19">
        <v>45677</v>
      </c>
      <c r="AF146" s="32" t="s">
        <v>152</v>
      </c>
      <c r="AH146" s="23" t="s">
        <v>65</v>
      </c>
      <c r="AI146" s="23" t="s">
        <v>77</v>
      </c>
      <c r="AK146" s="22">
        <v>56</v>
      </c>
      <c r="AZ146" s="6"/>
      <c r="BI146" s="6">
        <v>40</v>
      </c>
      <c r="BJ146" s="6">
        <v>16</v>
      </c>
      <c r="BK146" s="6"/>
      <c r="BL146" s="6"/>
      <c r="BM146" s="6"/>
      <c r="BN146" s="6"/>
      <c r="BO146" s="6"/>
      <c r="BP146" s="6"/>
      <c r="BQ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</row>
    <row r="147" spans="1:137" ht="36" customHeight="1" x14ac:dyDescent="0.25">
      <c r="A147" s="55">
        <v>45432</v>
      </c>
      <c r="B147" s="50" t="s">
        <v>766</v>
      </c>
      <c r="C147" s="57"/>
      <c r="D147" s="6" t="s">
        <v>36</v>
      </c>
      <c r="E147" s="6" t="s">
        <v>146</v>
      </c>
      <c r="H147" s="20"/>
      <c r="J147" s="21">
        <v>111076</v>
      </c>
      <c r="K147" s="23" t="s">
        <v>278</v>
      </c>
      <c r="L147" s="23" t="s">
        <v>579</v>
      </c>
      <c r="M147" s="23" t="s">
        <v>67</v>
      </c>
      <c r="N147" s="23" t="s">
        <v>164</v>
      </c>
      <c r="Q147" s="6" t="s">
        <v>474</v>
      </c>
      <c r="Z147" s="6" t="s">
        <v>72</v>
      </c>
      <c r="AA147" s="6" t="s">
        <v>474</v>
      </c>
      <c r="AB147" s="27">
        <v>45672</v>
      </c>
      <c r="AC147" s="27">
        <v>45617</v>
      </c>
      <c r="AD147" s="27">
        <v>45673</v>
      </c>
      <c r="AE147" s="19">
        <v>45677</v>
      </c>
      <c r="AF147" s="32" t="s">
        <v>152</v>
      </c>
      <c r="AH147" s="23" t="s">
        <v>65</v>
      </c>
      <c r="AI147" s="23" t="s">
        <v>77</v>
      </c>
      <c r="AK147" s="22">
        <v>56</v>
      </c>
      <c r="AZ147" s="6"/>
      <c r="BB147" s="6"/>
      <c r="BI147" s="6">
        <v>40</v>
      </c>
      <c r="BJ147" s="6">
        <v>16</v>
      </c>
      <c r="BK147" s="6"/>
      <c r="BL147" s="6"/>
      <c r="BM147" s="6"/>
      <c r="BN147" s="6"/>
      <c r="BO147" s="6"/>
      <c r="BP147" s="6"/>
      <c r="BQ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</row>
    <row r="148" spans="1:137" ht="36" customHeight="1" x14ac:dyDescent="0.25">
      <c r="A148" s="55">
        <v>45432</v>
      </c>
      <c r="B148" s="50" t="s">
        <v>565</v>
      </c>
      <c r="C148" s="57"/>
      <c r="D148" s="6" t="s">
        <v>36</v>
      </c>
      <c r="E148" s="6" t="s">
        <v>146</v>
      </c>
      <c r="H148" s="20"/>
      <c r="J148" s="21">
        <v>111087</v>
      </c>
      <c r="K148" s="23" t="s">
        <v>278</v>
      </c>
      <c r="L148" s="23" t="s">
        <v>558</v>
      </c>
      <c r="M148" s="23" t="s">
        <v>67</v>
      </c>
      <c r="N148" s="23" t="s">
        <v>164</v>
      </c>
      <c r="Q148" s="6" t="s">
        <v>474</v>
      </c>
      <c r="Z148" s="6" t="s">
        <v>72</v>
      </c>
      <c r="AA148" s="6" t="s">
        <v>474</v>
      </c>
      <c r="AB148" s="27">
        <v>45672</v>
      </c>
      <c r="AC148" s="27">
        <v>45582</v>
      </c>
      <c r="AD148" s="27">
        <v>45673</v>
      </c>
      <c r="AE148" s="19">
        <v>45677</v>
      </c>
      <c r="AF148" s="32" t="s">
        <v>152</v>
      </c>
      <c r="AH148" s="23" t="s">
        <v>65</v>
      </c>
      <c r="AI148" s="23" t="s">
        <v>77</v>
      </c>
      <c r="AK148" s="22">
        <v>56</v>
      </c>
      <c r="AZ148" s="6"/>
      <c r="BI148" s="6">
        <v>40</v>
      </c>
      <c r="BJ148" s="6">
        <v>16</v>
      </c>
      <c r="BK148" s="6"/>
      <c r="BL148" s="6"/>
      <c r="BM148" s="6"/>
      <c r="BN148" s="6"/>
      <c r="BO148" s="6"/>
      <c r="BP148" s="6"/>
      <c r="BQ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</row>
    <row r="149" spans="1:137" ht="36" customHeight="1" x14ac:dyDescent="0.25">
      <c r="A149" s="55">
        <v>45432</v>
      </c>
      <c r="B149" s="50" t="s">
        <v>574</v>
      </c>
      <c r="C149" s="57"/>
      <c r="D149" s="6" t="s">
        <v>36</v>
      </c>
      <c r="E149" s="6" t="s">
        <v>146</v>
      </c>
      <c r="H149" s="20"/>
      <c r="J149" s="21">
        <v>111088</v>
      </c>
      <c r="K149" s="23" t="s">
        <v>278</v>
      </c>
      <c r="L149" s="23" t="s">
        <v>561</v>
      </c>
      <c r="M149" s="23" t="s">
        <v>67</v>
      </c>
      <c r="N149" s="23" t="s">
        <v>164</v>
      </c>
      <c r="Q149" s="6" t="s">
        <v>474</v>
      </c>
      <c r="Z149" s="6" t="s">
        <v>72</v>
      </c>
      <c r="AA149" s="6" t="s">
        <v>474</v>
      </c>
      <c r="AB149" s="27">
        <v>45672</v>
      </c>
      <c r="AC149" s="27">
        <v>45582</v>
      </c>
      <c r="AD149" s="27">
        <v>45673</v>
      </c>
      <c r="AE149" s="19">
        <v>45677</v>
      </c>
      <c r="AF149" s="32" t="s">
        <v>152</v>
      </c>
      <c r="AH149" s="23" t="s">
        <v>65</v>
      </c>
      <c r="AI149" s="23" t="s">
        <v>77</v>
      </c>
      <c r="AK149" s="22">
        <v>56</v>
      </c>
      <c r="AZ149" s="6"/>
      <c r="BB149" s="6"/>
      <c r="BC149" s="6"/>
      <c r="BI149" s="6"/>
      <c r="BJ149" s="6">
        <v>40</v>
      </c>
      <c r="BK149" s="6">
        <v>16</v>
      </c>
      <c r="BL149" s="6"/>
      <c r="BM149" s="6"/>
      <c r="BN149" s="6"/>
      <c r="BO149" s="6"/>
      <c r="BP149" s="6"/>
      <c r="BQ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</row>
    <row r="150" spans="1:137" ht="36" customHeight="1" x14ac:dyDescent="0.25">
      <c r="A150" s="55">
        <v>45490</v>
      </c>
      <c r="B150" s="50" t="s">
        <v>995</v>
      </c>
      <c r="C150" s="57"/>
      <c r="D150" s="29"/>
      <c r="E150" s="6" t="s">
        <v>146</v>
      </c>
      <c r="H150" s="20"/>
      <c r="J150" s="21">
        <v>114102</v>
      </c>
      <c r="K150" s="23" t="s">
        <v>278</v>
      </c>
      <c r="L150" s="23" t="s">
        <v>996</v>
      </c>
      <c r="M150" s="23" t="s">
        <v>997</v>
      </c>
      <c r="N150" s="23" t="s">
        <v>38</v>
      </c>
      <c r="Q150" s="6" t="s">
        <v>474</v>
      </c>
      <c r="AC150" s="27">
        <v>45679</v>
      </c>
      <c r="AD150" s="27"/>
      <c r="AE150" s="19">
        <v>45681</v>
      </c>
      <c r="AF150" s="32" t="s">
        <v>152</v>
      </c>
      <c r="AH150" s="23" t="s">
        <v>65</v>
      </c>
      <c r="AI150" s="23" t="s">
        <v>77</v>
      </c>
      <c r="AK150" s="22">
        <v>56</v>
      </c>
      <c r="BJ150" s="4">
        <v>40</v>
      </c>
      <c r="BK150" s="6">
        <v>16</v>
      </c>
      <c r="DX150" s="6"/>
      <c r="DY150" s="6"/>
      <c r="DZ150" s="6"/>
      <c r="EA150" s="6"/>
      <c r="EB150" s="6"/>
      <c r="EC150" s="6"/>
      <c r="ED150" s="6"/>
      <c r="EE150" s="6"/>
      <c r="EF150" s="6"/>
      <c r="EG150" s="6"/>
    </row>
    <row r="151" spans="1:137" ht="36" customHeight="1" x14ac:dyDescent="0.25">
      <c r="A151" s="19">
        <v>45490</v>
      </c>
      <c r="B151" s="50" t="s">
        <v>1025</v>
      </c>
      <c r="D151" s="29"/>
      <c r="E151" s="6" t="s">
        <v>146</v>
      </c>
      <c r="H151" s="20"/>
      <c r="J151" s="21">
        <v>114114</v>
      </c>
      <c r="K151" s="23" t="s">
        <v>278</v>
      </c>
      <c r="L151" s="23" t="s">
        <v>996</v>
      </c>
      <c r="M151" s="23" t="s">
        <v>1026</v>
      </c>
      <c r="N151" s="23" t="s">
        <v>38</v>
      </c>
      <c r="Q151" s="6" t="s">
        <v>474</v>
      </c>
      <c r="AC151" s="27">
        <v>45679</v>
      </c>
      <c r="AD151" s="27"/>
      <c r="AE151" s="19">
        <v>45681</v>
      </c>
      <c r="AF151" s="32" t="s">
        <v>152</v>
      </c>
      <c r="AH151" s="23" t="s">
        <v>65</v>
      </c>
      <c r="AI151" s="23" t="s">
        <v>77</v>
      </c>
      <c r="AK151" s="22">
        <v>56</v>
      </c>
      <c r="BJ151" s="4">
        <v>40</v>
      </c>
      <c r="BK151" s="4">
        <v>16</v>
      </c>
      <c r="DX151" s="6"/>
      <c r="DY151" s="6"/>
      <c r="DZ151" s="6"/>
      <c r="EA151" s="6"/>
      <c r="EB151" s="6"/>
      <c r="EC151" s="6"/>
      <c r="ED151" s="6"/>
      <c r="EE151" s="6"/>
      <c r="EF151" s="6"/>
      <c r="EG151" s="6"/>
    </row>
    <row r="152" spans="1:137" ht="36" customHeight="1" x14ac:dyDescent="0.25">
      <c r="A152" s="19">
        <v>45490</v>
      </c>
      <c r="B152" s="50" t="s">
        <v>998</v>
      </c>
      <c r="D152" s="29"/>
      <c r="E152" s="6" t="s">
        <v>146</v>
      </c>
      <c r="H152" s="20"/>
      <c r="J152" s="21">
        <v>114103</v>
      </c>
      <c r="K152" s="23" t="s">
        <v>278</v>
      </c>
      <c r="L152" s="23" t="s">
        <v>999</v>
      </c>
      <c r="M152" s="23" t="s">
        <v>1000</v>
      </c>
      <c r="N152" s="23" t="s">
        <v>38</v>
      </c>
      <c r="Q152" s="6" t="s">
        <v>474</v>
      </c>
      <c r="AC152" s="27">
        <v>45693</v>
      </c>
      <c r="AD152" s="27"/>
      <c r="AE152" s="19">
        <v>45695</v>
      </c>
      <c r="AF152" s="32" t="s">
        <v>152</v>
      </c>
      <c r="AH152" s="23" t="s">
        <v>65</v>
      </c>
      <c r="AI152" s="23" t="s">
        <v>77</v>
      </c>
      <c r="AK152" s="22">
        <v>56</v>
      </c>
      <c r="BL152" s="4">
        <v>40</v>
      </c>
      <c r="BM152" s="6">
        <v>16</v>
      </c>
      <c r="DX152" s="6"/>
      <c r="DY152" s="6"/>
      <c r="DZ152" s="6"/>
      <c r="EA152" s="6"/>
      <c r="EB152" s="6"/>
      <c r="EC152" s="6"/>
      <c r="ED152" s="6"/>
      <c r="EE152" s="6"/>
      <c r="EF152" s="6"/>
      <c r="EG152" s="6"/>
    </row>
    <row r="153" spans="1:137" ht="36" customHeight="1" x14ac:dyDescent="0.25">
      <c r="A153" s="19">
        <v>45490</v>
      </c>
      <c r="B153" s="50" t="s">
        <v>1027</v>
      </c>
      <c r="D153" s="29"/>
      <c r="E153" s="6" t="s">
        <v>146</v>
      </c>
      <c r="H153" s="20"/>
      <c r="J153" s="21">
        <v>114115</v>
      </c>
      <c r="K153" s="23" t="s">
        <v>278</v>
      </c>
      <c r="L153" s="23" t="s">
        <v>999</v>
      </c>
      <c r="M153" s="23" t="s">
        <v>1028</v>
      </c>
      <c r="N153" s="23" t="s">
        <v>38</v>
      </c>
      <c r="Q153" s="6" t="s">
        <v>474</v>
      </c>
      <c r="AC153" s="27">
        <v>45693</v>
      </c>
      <c r="AD153" s="27"/>
      <c r="AE153" s="19">
        <v>45695</v>
      </c>
      <c r="AF153" s="32" t="s">
        <v>152</v>
      </c>
      <c r="AH153" s="23" t="s">
        <v>65</v>
      </c>
      <c r="AI153" s="23" t="s">
        <v>77</v>
      </c>
      <c r="AK153" s="22">
        <v>56</v>
      </c>
      <c r="BL153" s="4">
        <v>40</v>
      </c>
      <c r="BM153" s="4">
        <v>16</v>
      </c>
      <c r="DX153" s="6"/>
      <c r="DY153" s="6"/>
      <c r="DZ153" s="6"/>
      <c r="EA153" s="6"/>
      <c r="EB153" s="6"/>
      <c r="EC153" s="6"/>
      <c r="ED153" s="6"/>
      <c r="EE153" s="6"/>
      <c r="EF153" s="6"/>
      <c r="EG153" s="6"/>
    </row>
    <row r="154" spans="1:137" ht="36" customHeight="1" x14ac:dyDescent="0.25">
      <c r="A154" s="19">
        <v>45432</v>
      </c>
      <c r="B154" s="50" t="s">
        <v>767</v>
      </c>
      <c r="D154" s="6" t="s">
        <v>36</v>
      </c>
      <c r="E154" s="6" t="s">
        <v>146</v>
      </c>
      <c r="H154" s="20"/>
      <c r="J154" s="21">
        <v>111090</v>
      </c>
      <c r="K154" s="23" t="s">
        <v>278</v>
      </c>
      <c r="L154" s="23" t="s">
        <v>577</v>
      </c>
      <c r="M154" s="23" t="s">
        <v>67</v>
      </c>
      <c r="N154" s="23" t="s">
        <v>164</v>
      </c>
      <c r="Q154" s="6" t="s">
        <v>474</v>
      </c>
      <c r="Z154" s="6" t="s">
        <v>72</v>
      </c>
      <c r="AA154" s="6" t="s">
        <v>474</v>
      </c>
      <c r="AB154" s="19">
        <v>45693</v>
      </c>
      <c r="AC154" s="27">
        <v>45603</v>
      </c>
      <c r="AD154" s="27">
        <v>45694</v>
      </c>
      <c r="AE154" s="19">
        <v>45698</v>
      </c>
      <c r="AF154" s="32" t="s">
        <v>152</v>
      </c>
      <c r="AH154" s="23" t="s">
        <v>65</v>
      </c>
      <c r="AI154" s="23" t="s">
        <v>77</v>
      </c>
      <c r="AK154" s="22">
        <v>56</v>
      </c>
      <c r="AY154" s="6"/>
      <c r="AZ154" s="6"/>
      <c r="BB154" s="6"/>
      <c r="BC154" s="6"/>
      <c r="BI154" s="6"/>
      <c r="BJ154" s="6"/>
      <c r="BK154" s="6"/>
      <c r="BL154" s="6">
        <v>40</v>
      </c>
      <c r="BM154" s="6">
        <v>16</v>
      </c>
      <c r="BN154" s="6"/>
      <c r="BO154" s="6"/>
      <c r="BP154" s="6"/>
      <c r="BQ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</row>
    <row r="155" spans="1:137" ht="36" customHeight="1" x14ac:dyDescent="0.25">
      <c r="A155" s="19">
        <v>45462</v>
      </c>
      <c r="B155" s="50" t="s">
        <v>784</v>
      </c>
      <c r="D155" s="6" t="s">
        <v>36</v>
      </c>
      <c r="E155" s="6" t="s">
        <v>146</v>
      </c>
      <c r="H155" s="20"/>
      <c r="J155" s="21">
        <v>113226</v>
      </c>
      <c r="K155" s="23" t="s">
        <v>278</v>
      </c>
      <c r="L155" s="23" t="s">
        <v>735</v>
      </c>
      <c r="M155" s="23" t="s">
        <v>780</v>
      </c>
      <c r="N155" s="23" t="s">
        <v>164</v>
      </c>
      <c r="Q155" s="6" t="s">
        <v>474</v>
      </c>
      <c r="Y155" s="6" t="s">
        <v>474</v>
      </c>
      <c r="Z155" s="6" t="s">
        <v>72</v>
      </c>
      <c r="AA155" s="6" t="s">
        <v>474</v>
      </c>
      <c r="AB155" s="19">
        <v>45693</v>
      </c>
      <c r="AC155" s="27">
        <v>45694</v>
      </c>
      <c r="AD155" s="27"/>
      <c r="AE155" s="19">
        <v>45698</v>
      </c>
      <c r="AF155" s="32" t="s">
        <v>152</v>
      </c>
      <c r="AH155" s="23" t="s">
        <v>65</v>
      </c>
      <c r="AI155" s="23" t="s">
        <v>77</v>
      </c>
      <c r="AK155" s="22">
        <v>56</v>
      </c>
      <c r="AZ155" s="6"/>
      <c r="BB155" s="6"/>
      <c r="BC155" s="6"/>
      <c r="BL155" s="6">
        <v>40</v>
      </c>
      <c r="BM155" s="6">
        <v>16</v>
      </c>
      <c r="BN155" s="6"/>
      <c r="BO155" s="6"/>
      <c r="BP155" s="6"/>
      <c r="BQ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</row>
    <row r="156" spans="1:137" ht="36" customHeight="1" x14ac:dyDescent="0.25">
      <c r="A156" s="19">
        <v>45490</v>
      </c>
      <c r="B156" s="50" t="s">
        <v>1001</v>
      </c>
      <c r="D156" s="29"/>
      <c r="E156" s="6" t="s">
        <v>146</v>
      </c>
      <c r="H156" s="20"/>
      <c r="J156" s="21">
        <v>114104</v>
      </c>
      <c r="K156" s="23" t="s">
        <v>278</v>
      </c>
      <c r="L156" s="23" t="s">
        <v>1002</v>
      </c>
      <c r="M156" s="23" t="s">
        <v>1003</v>
      </c>
      <c r="N156" s="23" t="s">
        <v>38</v>
      </c>
      <c r="Q156" s="6" t="s">
        <v>474</v>
      </c>
      <c r="AC156" s="27">
        <v>45707</v>
      </c>
      <c r="AD156" s="27"/>
      <c r="AE156" s="19">
        <v>45709</v>
      </c>
      <c r="AF156" s="32" t="s">
        <v>152</v>
      </c>
      <c r="AH156" s="23" t="s">
        <v>65</v>
      </c>
      <c r="AI156" s="23" t="s">
        <v>77</v>
      </c>
      <c r="AK156" s="22">
        <v>56</v>
      </c>
      <c r="BN156" s="4">
        <v>40</v>
      </c>
      <c r="BO156" s="6">
        <v>16</v>
      </c>
      <c r="DX156" s="6"/>
      <c r="DY156" s="6"/>
      <c r="DZ156" s="6"/>
      <c r="EA156" s="6"/>
      <c r="EB156" s="6"/>
      <c r="EC156" s="6"/>
      <c r="ED156" s="6"/>
      <c r="EE156" s="6"/>
      <c r="EF156" s="6"/>
      <c r="EG156" s="6"/>
    </row>
    <row r="157" spans="1:137" ht="36" customHeight="1" x14ac:dyDescent="0.25">
      <c r="A157" s="19">
        <v>45490</v>
      </c>
      <c r="B157" s="50" t="s">
        <v>1029</v>
      </c>
      <c r="D157" s="29"/>
      <c r="E157" s="6" t="s">
        <v>146</v>
      </c>
      <c r="H157" s="20"/>
      <c r="J157" s="21">
        <v>114116</v>
      </c>
      <c r="K157" s="23" t="s">
        <v>278</v>
      </c>
      <c r="L157" s="23" t="s">
        <v>1002</v>
      </c>
      <c r="M157" s="23" t="s">
        <v>1030</v>
      </c>
      <c r="N157" s="23" t="s">
        <v>38</v>
      </c>
      <c r="Q157" s="6" t="s">
        <v>474</v>
      </c>
      <c r="AC157" s="27">
        <v>45707</v>
      </c>
      <c r="AD157" s="27"/>
      <c r="AE157" s="19">
        <v>45709</v>
      </c>
      <c r="AF157" s="32" t="s">
        <v>152</v>
      </c>
      <c r="AH157" s="23" t="s">
        <v>65</v>
      </c>
      <c r="AI157" s="23" t="s">
        <v>77</v>
      </c>
      <c r="AK157" s="22">
        <v>56</v>
      </c>
      <c r="BN157" s="4">
        <v>40</v>
      </c>
      <c r="BO157" s="4">
        <v>16</v>
      </c>
      <c r="DX157" s="6"/>
      <c r="DY157" s="6"/>
      <c r="DZ157" s="6"/>
      <c r="EA157" s="6"/>
      <c r="EB157" s="6"/>
      <c r="EC157" s="6"/>
      <c r="ED157" s="6"/>
      <c r="EE157" s="6"/>
      <c r="EF157" s="6"/>
      <c r="EG157" s="6"/>
    </row>
    <row r="158" spans="1:137" ht="36" customHeight="1" x14ac:dyDescent="0.25">
      <c r="A158" s="19">
        <v>45490</v>
      </c>
      <c r="B158" s="50" t="s">
        <v>1004</v>
      </c>
      <c r="D158" s="29"/>
      <c r="E158" s="6" t="s">
        <v>146</v>
      </c>
      <c r="H158" s="20"/>
      <c r="J158" s="21">
        <v>1140105</v>
      </c>
      <c r="K158" s="23" t="s">
        <v>278</v>
      </c>
      <c r="L158" s="23" t="s">
        <v>1005</v>
      </c>
      <c r="M158" s="23" t="s">
        <v>1006</v>
      </c>
      <c r="N158" s="23" t="s">
        <v>143</v>
      </c>
      <c r="Q158" s="6" t="s">
        <v>474</v>
      </c>
      <c r="AC158" s="27">
        <v>45721</v>
      </c>
      <c r="AD158" s="27"/>
      <c r="AE158" s="19">
        <v>45723</v>
      </c>
      <c r="AF158" s="32" t="s">
        <v>152</v>
      </c>
      <c r="AH158" s="23" t="s">
        <v>65</v>
      </c>
      <c r="AI158" s="23" t="s">
        <v>77</v>
      </c>
      <c r="AK158" s="22">
        <v>56</v>
      </c>
      <c r="BP158" s="4">
        <v>40</v>
      </c>
      <c r="BQ158" s="6">
        <v>16</v>
      </c>
      <c r="DX158" s="6"/>
      <c r="DY158" s="6"/>
      <c r="DZ158" s="6"/>
      <c r="EA158" s="6"/>
      <c r="EB158" s="6"/>
      <c r="EC158" s="6"/>
      <c r="ED158" s="6"/>
      <c r="EE158" s="6"/>
      <c r="EF158" s="6"/>
      <c r="EG158" s="6"/>
    </row>
    <row r="159" spans="1:137" ht="36" customHeight="1" x14ac:dyDescent="0.25">
      <c r="A159" s="19">
        <v>45490</v>
      </c>
      <c r="B159" s="50" t="s">
        <v>1031</v>
      </c>
      <c r="D159" s="29"/>
      <c r="E159" s="6" t="s">
        <v>146</v>
      </c>
      <c r="H159" s="20"/>
      <c r="J159" s="21">
        <v>114117</v>
      </c>
      <c r="K159" s="23" t="s">
        <v>278</v>
      </c>
      <c r="L159" s="23" t="s">
        <v>1005</v>
      </c>
      <c r="M159" s="23" t="s">
        <v>1032</v>
      </c>
      <c r="N159" s="23" t="s">
        <v>38</v>
      </c>
      <c r="Q159" s="6" t="s">
        <v>474</v>
      </c>
      <c r="AC159" s="27">
        <v>45721</v>
      </c>
      <c r="AD159" s="27"/>
      <c r="AE159" s="19">
        <v>45723</v>
      </c>
      <c r="AF159" s="32" t="s">
        <v>152</v>
      </c>
      <c r="AH159" s="23" t="s">
        <v>65</v>
      </c>
      <c r="AI159" s="23" t="s">
        <v>77</v>
      </c>
      <c r="AK159" s="22">
        <v>56</v>
      </c>
      <c r="BP159" s="4">
        <v>40</v>
      </c>
      <c r="BQ159" s="4">
        <v>16</v>
      </c>
      <c r="DX159" s="6"/>
      <c r="DY159" s="6"/>
      <c r="DZ159" s="6"/>
      <c r="EA159" s="6"/>
      <c r="EB159" s="6"/>
      <c r="EC159" s="6"/>
      <c r="ED159" s="6"/>
      <c r="EE159" s="6"/>
      <c r="EF159" s="6"/>
      <c r="EG159" s="6"/>
    </row>
    <row r="160" spans="1:137" ht="36" customHeight="1" x14ac:dyDescent="0.25">
      <c r="A160" s="19">
        <v>45490</v>
      </c>
      <c r="B160" s="50" t="s">
        <v>1007</v>
      </c>
      <c r="D160" s="29"/>
      <c r="E160" s="6" t="s">
        <v>146</v>
      </c>
      <c r="H160" s="20"/>
      <c r="J160" s="21">
        <v>114106</v>
      </c>
      <c r="K160" s="23" t="s">
        <v>278</v>
      </c>
      <c r="L160" s="23" t="s">
        <v>1008</v>
      </c>
      <c r="M160" s="23" t="s">
        <v>1009</v>
      </c>
      <c r="N160" s="23" t="s">
        <v>38</v>
      </c>
      <c r="Q160" s="6" t="s">
        <v>474</v>
      </c>
      <c r="AC160" s="27">
        <v>45735</v>
      </c>
      <c r="AD160" s="27"/>
      <c r="AE160" s="19">
        <v>45737</v>
      </c>
      <c r="AF160" s="32" t="s">
        <v>152</v>
      </c>
      <c r="AH160" s="23" t="s">
        <v>65</v>
      </c>
      <c r="AI160" s="23" t="s">
        <v>77</v>
      </c>
      <c r="AK160" s="22">
        <v>56</v>
      </c>
      <c r="DX160" s="6"/>
      <c r="DY160" s="6"/>
      <c r="DZ160" s="6"/>
      <c r="EA160" s="6"/>
      <c r="EB160" s="6"/>
      <c r="EC160" s="6"/>
      <c r="ED160" s="6"/>
      <c r="EE160" s="6"/>
      <c r="EF160" s="6"/>
      <c r="EG160" s="6"/>
    </row>
    <row r="161" spans="1:137" ht="36" customHeight="1" x14ac:dyDescent="0.25">
      <c r="A161" s="19">
        <v>45490</v>
      </c>
      <c r="B161" s="50" t="s">
        <v>1033</v>
      </c>
      <c r="D161" s="29"/>
      <c r="E161" s="6" t="s">
        <v>146</v>
      </c>
      <c r="H161" s="20"/>
      <c r="J161" s="21">
        <v>114118</v>
      </c>
      <c r="K161" s="23" t="s">
        <v>278</v>
      </c>
      <c r="L161" s="23" t="s">
        <v>1008</v>
      </c>
      <c r="M161" s="23" t="s">
        <v>1034</v>
      </c>
      <c r="N161" s="23" t="s">
        <v>38</v>
      </c>
      <c r="Q161" s="6" t="s">
        <v>474</v>
      </c>
      <c r="AC161" s="27">
        <v>45735</v>
      </c>
      <c r="AD161" s="27"/>
      <c r="AE161" s="19">
        <v>45737</v>
      </c>
      <c r="AF161" s="32" t="s">
        <v>152</v>
      </c>
      <c r="AH161" s="23" t="s">
        <v>65</v>
      </c>
      <c r="AI161" s="23" t="s">
        <v>77</v>
      </c>
      <c r="AK161" s="22">
        <v>56</v>
      </c>
      <c r="DX161" s="6"/>
      <c r="DY161" s="6"/>
      <c r="DZ161" s="6"/>
      <c r="EA161" s="6"/>
      <c r="EB161" s="6"/>
      <c r="EC161" s="6"/>
      <c r="ED161" s="6"/>
      <c r="EE161" s="6"/>
      <c r="EF161" s="6"/>
      <c r="EG161" s="6"/>
    </row>
    <row r="162" spans="1:137" ht="36" customHeight="1" x14ac:dyDescent="0.25">
      <c r="A162" s="19">
        <v>45462</v>
      </c>
      <c r="B162" s="50" t="s">
        <v>785</v>
      </c>
      <c r="D162" s="6" t="s">
        <v>36</v>
      </c>
      <c r="E162" s="6" t="s">
        <v>146</v>
      </c>
      <c r="H162" s="20"/>
      <c r="J162" s="21">
        <v>113227</v>
      </c>
      <c r="K162" s="23" t="s">
        <v>278</v>
      </c>
      <c r="L162" s="23" t="s">
        <v>737</v>
      </c>
      <c r="M162" s="23" t="s">
        <v>780</v>
      </c>
      <c r="N162" s="23" t="s">
        <v>164</v>
      </c>
      <c r="Q162" s="6" t="s">
        <v>474</v>
      </c>
      <c r="Y162" s="6" t="s">
        <v>474</v>
      </c>
      <c r="Z162" s="6" t="s">
        <v>72</v>
      </c>
      <c r="AA162" s="6" t="s">
        <v>474</v>
      </c>
      <c r="AB162" s="19">
        <v>45370</v>
      </c>
      <c r="AC162" s="27">
        <v>45736</v>
      </c>
      <c r="AD162" s="27"/>
      <c r="AE162" s="19">
        <v>45740</v>
      </c>
      <c r="AF162" s="32" t="s">
        <v>152</v>
      </c>
      <c r="AH162" s="23" t="s">
        <v>65</v>
      </c>
      <c r="AI162" s="23" t="s">
        <v>77</v>
      </c>
      <c r="AK162" s="22">
        <v>56</v>
      </c>
      <c r="AZ162" s="6"/>
      <c r="BB162" s="6"/>
      <c r="BC162" s="6"/>
      <c r="BN162" s="6"/>
      <c r="BO162" s="6"/>
      <c r="BP162" s="6">
        <v>40</v>
      </c>
      <c r="BQ162" s="6">
        <v>16</v>
      </c>
      <c r="DX162" s="6"/>
      <c r="DY162" s="6"/>
      <c r="DZ162" s="6"/>
      <c r="EA162" s="6"/>
      <c r="EB162" s="6"/>
      <c r="EC162" s="6"/>
      <c r="ED162" s="6"/>
      <c r="EE162" s="6"/>
      <c r="EF162" s="6"/>
      <c r="EG162" s="6"/>
    </row>
    <row r="163" spans="1:137" ht="36" customHeight="1" x14ac:dyDescent="0.25">
      <c r="A163" s="19">
        <v>45490</v>
      </c>
      <c r="B163" s="50" t="s">
        <v>1010</v>
      </c>
      <c r="D163" s="29"/>
      <c r="E163" s="6" t="s">
        <v>146</v>
      </c>
      <c r="H163" s="20"/>
      <c r="J163" s="21">
        <v>114107</v>
      </c>
      <c r="K163" s="23" t="s">
        <v>278</v>
      </c>
      <c r="L163" s="23" t="s">
        <v>1011</v>
      </c>
      <c r="M163" s="23" t="s">
        <v>1012</v>
      </c>
      <c r="N163" s="23" t="s">
        <v>38</v>
      </c>
      <c r="Q163" s="6" t="s">
        <v>474</v>
      </c>
      <c r="AC163" s="27">
        <v>45749</v>
      </c>
      <c r="AD163" s="27"/>
      <c r="AE163" s="19">
        <v>45751</v>
      </c>
      <c r="AF163" s="32" t="s">
        <v>152</v>
      </c>
      <c r="AH163" s="23" t="s">
        <v>65</v>
      </c>
      <c r="AI163" s="23" t="s">
        <v>77</v>
      </c>
      <c r="AK163" s="22">
        <v>56</v>
      </c>
      <c r="DX163" s="6"/>
      <c r="DY163" s="6"/>
      <c r="DZ163" s="6"/>
      <c r="EA163" s="6"/>
      <c r="EB163" s="6"/>
      <c r="EC163" s="6"/>
      <c r="ED163" s="6"/>
      <c r="EE163" s="6"/>
      <c r="EF163" s="6"/>
      <c r="EG163" s="6"/>
    </row>
    <row r="164" spans="1:137" ht="36" customHeight="1" x14ac:dyDescent="0.25">
      <c r="A164" s="19">
        <v>45490</v>
      </c>
      <c r="B164" s="50" t="s">
        <v>1035</v>
      </c>
      <c r="D164" s="29"/>
      <c r="E164" s="6" t="s">
        <v>146</v>
      </c>
      <c r="H164" s="20"/>
      <c r="J164" s="21">
        <v>114119</v>
      </c>
      <c r="K164" s="23" t="s">
        <v>278</v>
      </c>
      <c r="L164" s="23" t="s">
        <v>1011</v>
      </c>
      <c r="M164" s="23" t="s">
        <v>1036</v>
      </c>
      <c r="N164" s="23" t="s">
        <v>38</v>
      </c>
      <c r="Q164" s="6" t="s">
        <v>474</v>
      </c>
      <c r="AC164" s="27">
        <v>45749</v>
      </c>
      <c r="AD164" s="27"/>
      <c r="AE164" s="19">
        <v>45751</v>
      </c>
      <c r="AF164" s="32" t="s">
        <v>152</v>
      </c>
      <c r="AH164" s="23" t="s">
        <v>65</v>
      </c>
      <c r="AI164" s="23" t="s">
        <v>77</v>
      </c>
      <c r="AK164" s="22">
        <v>56</v>
      </c>
      <c r="DX164" s="6"/>
      <c r="DY164" s="6"/>
      <c r="DZ164" s="6"/>
      <c r="EA164" s="6"/>
      <c r="EB164" s="6"/>
      <c r="EC164" s="6"/>
      <c r="ED164" s="6"/>
      <c r="EE164" s="6"/>
      <c r="EF164" s="6"/>
      <c r="EG164" s="6"/>
    </row>
    <row r="165" spans="1:137" ht="36" customHeight="1" x14ac:dyDescent="0.25">
      <c r="A165" s="19">
        <v>45432</v>
      </c>
      <c r="B165" s="50" t="s">
        <v>584</v>
      </c>
      <c r="D165" s="6" t="s">
        <v>36</v>
      </c>
      <c r="E165" s="6" t="s">
        <v>146</v>
      </c>
      <c r="H165" s="20"/>
      <c r="J165" s="21">
        <v>107548</v>
      </c>
      <c r="K165" s="23" t="s">
        <v>278</v>
      </c>
      <c r="L165" s="23" t="s">
        <v>585</v>
      </c>
      <c r="M165" s="23" t="s">
        <v>67</v>
      </c>
      <c r="N165" s="23" t="s">
        <v>164</v>
      </c>
      <c r="Q165" s="6" t="s">
        <v>474</v>
      </c>
      <c r="Z165" s="6" t="s">
        <v>72</v>
      </c>
      <c r="AA165" s="6" t="s">
        <v>474</v>
      </c>
      <c r="AB165" s="19">
        <v>45390</v>
      </c>
      <c r="AC165" s="27">
        <v>45756</v>
      </c>
      <c r="AD165" s="27"/>
      <c r="AE165" s="19">
        <v>45761</v>
      </c>
      <c r="AF165" s="32" t="s">
        <v>152</v>
      </c>
      <c r="AH165" s="23" t="s">
        <v>65</v>
      </c>
      <c r="AI165" s="23" t="s">
        <v>77</v>
      </c>
      <c r="AK165" s="22">
        <v>56</v>
      </c>
      <c r="AZ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DY165" s="6"/>
      <c r="DZ165" s="6"/>
      <c r="EA165" s="6"/>
      <c r="EB165" s="6"/>
      <c r="EC165" s="6"/>
      <c r="ED165" s="6"/>
      <c r="EE165" s="6"/>
      <c r="EF165" s="6"/>
      <c r="EG165" s="6"/>
    </row>
    <row r="166" spans="1:137" ht="36" customHeight="1" x14ac:dyDescent="0.25">
      <c r="A166" s="19">
        <v>45432</v>
      </c>
      <c r="B166" s="50" t="s">
        <v>586</v>
      </c>
      <c r="D166" s="6" t="s">
        <v>36</v>
      </c>
      <c r="E166" s="6" t="s">
        <v>146</v>
      </c>
      <c r="H166" s="20"/>
      <c r="J166" s="21">
        <v>107549</v>
      </c>
      <c r="K166" s="23" t="s">
        <v>278</v>
      </c>
      <c r="L166" s="23" t="s">
        <v>587</v>
      </c>
      <c r="M166" s="23" t="s">
        <v>67</v>
      </c>
      <c r="N166" s="23" t="s">
        <v>164</v>
      </c>
      <c r="Q166" s="6" t="s">
        <v>474</v>
      </c>
      <c r="Z166" s="6" t="s">
        <v>72</v>
      </c>
      <c r="AA166" s="6" t="s">
        <v>474</v>
      </c>
      <c r="AB166" s="19">
        <v>45390</v>
      </c>
      <c r="AC166" s="27">
        <v>45756</v>
      </c>
      <c r="AD166" s="27"/>
      <c r="AE166" s="19">
        <v>45761</v>
      </c>
      <c r="AF166" s="32" t="s">
        <v>152</v>
      </c>
      <c r="AH166" s="23" t="s">
        <v>65</v>
      </c>
      <c r="AI166" s="23" t="s">
        <v>77</v>
      </c>
      <c r="AK166" s="22">
        <v>56</v>
      </c>
      <c r="AZ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DZ166" s="6"/>
      <c r="EA166" s="6"/>
      <c r="EB166" s="6"/>
      <c r="EC166" s="6"/>
      <c r="ED166" s="6"/>
      <c r="EE166" s="6"/>
      <c r="EF166" s="6"/>
      <c r="EG166" s="6"/>
    </row>
    <row r="167" spans="1:137" ht="36" customHeight="1" x14ac:dyDescent="0.25">
      <c r="A167" s="19">
        <v>45432</v>
      </c>
      <c r="B167" s="50" t="s">
        <v>588</v>
      </c>
      <c r="D167" s="6" t="s">
        <v>36</v>
      </c>
      <c r="E167" s="6" t="s">
        <v>146</v>
      </c>
      <c r="H167" s="20"/>
      <c r="J167" s="21">
        <v>107550</v>
      </c>
      <c r="K167" s="23" t="s">
        <v>278</v>
      </c>
      <c r="L167" s="23" t="s">
        <v>589</v>
      </c>
      <c r="M167" s="23" t="s">
        <v>67</v>
      </c>
      <c r="N167" s="23" t="s">
        <v>164</v>
      </c>
      <c r="Q167" s="6" t="s">
        <v>474</v>
      </c>
      <c r="Z167" s="6" t="s">
        <v>72</v>
      </c>
      <c r="AA167" s="6" t="s">
        <v>474</v>
      </c>
      <c r="AB167" s="19">
        <v>45390</v>
      </c>
      <c r="AC167" s="27">
        <v>45756</v>
      </c>
      <c r="AD167" s="27"/>
      <c r="AE167" s="19">
        <v>45761</v>
      </c>
      <c r="AF167" s="32" t="s">
        <v>152</v>
      </c>
      <c r="AH167" s="23" t="s">
        <v>65</v>
      </c>
      <c r="AI167" s="23" t="s">
        <v>77</v>
      </c>
      <c r="AK167" s="22">
        <v>56</v>
      </c>
      <c r="AZ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EE167" s="6"/>
      <c r="EF167" s="6"/>
      <c r="EG167" s="6"/>
    </row>
    <row r="168" spans="1:137" ht="36" customHeight="1" x14ac:dyDescent="0.25">
      <c r="A168" s="19">
        <v>45462</v>
      </c>
      <c r="B168" s="50" t="s">
        <v>786</v>
      </c>
      <c r="D168" s="6" t="s">
        <v>36</v>
      </c>
      <c r="E168" s="6" t="s">
        <v>146</v>
      </c>
      <c r="H168" s="20"/>
      <c r="J168" s="21">
        <v>113228</v>
      </c>
      <c r="K168" s="23" t="s">
        <v>278</v>
      </c>
      <c r="L168" s="23" t="s">
        <v>575</v>
      </c>
      <c r="M168" s="23" t="s">
        <v>780</v>
      </c>
      <c r="N168" s="23" t="s">
        <v>164</v>
      </c>
      <c r="Q168" s="6" t="s">
        <v>474</v>
      </c>
      <c r="Y168" s="6" t="s">
        <v>474</v>
      </c>
      <c r="Z168" s="6" t="s">
        <v>72</v>
      </c>
      <c r="AA168" s="6" t="s">
        <v>474</v>
      </c>
      <c r="AB168" s="19">
        <v>45412</v>
      </c>
      <c r="AC168" s="27">
        <v>45778</v>
      </c>
      <c r="AD168" s="27"/>
      <c r="AE168" s="19">
        <v>45782</v>
      </c>
      <c r="AF168" s="32" t="s">
        <v>152</v>
      </c>
      <c r="AH168" s="23" t="s">
        <v>65</v>
      </c>
      <c r="AI168" s="23" t="s">
        <v>77</v>
      </c>
      <c r="AK168" s="22">
        <v>56</v>
      </c>
      <c r="AZ168" s="6"/>
      <c r="BH168" s="6"/>
      <c r="BI168" s="6"/>
      <c r="BN168" s="6"/>
      <c r="BO168" s="6"/>
      <c r="BP168" s="6"/>
      <c r="BQ168" s="6"/>
      <c r="EF168" s="6"/>
      <c r="EG168" s="6"/>
    </row>
    <row r="169" spans="1:137" ht="36" customHeight="1" x14ac:dyDescent="0.25">
      <c r="A169" s="19">
        <v>45462</v>
      </c>
      <c r="B169" s="50" t="s">
        <v>787</v>
      </c>
      <c r="D169" s="6" t="s">
        <v>36</v>
      </c>
      <c r="E169" s="6" t="s">
        <v>146</v>
      </c>
      <c r="H169" s="20"/>
      <c r="J169" s="21">
        <v>113229</v>
      </c>
      <c r="K169" s="23" t="s">
        <v>278</v>
      </c>
      <c r="L169" s="23" t="s">
        <v>740</v>
      </c>
      <c r="M169" s="23" t="s">
        <v>780</v>
      </c>
      <c r="N169" s="23" t="s">
        <v>164</v>
      </c>
      <c r="Q169" s="6" t="s">
        <v>474</v>
      </c>
      <c r="Y169" s="6" t="s">
        <v>474</v>
      </c>
      <c r="Z169" s="6" t="s">
        <v>72</v>
      </c>
      <c r="AA169" s="6" t="s">
        <v>474</v>
      </c>
      <c r="AB169" s="19">
        <v>45454</v>
      </c>
      <c r="AC169" s="27">
        <v>45820</v>
      </c>
      <c r="AD169" s="27"/>
      <c r="AE169" s="19">
        <v>45824</v>
      </c>
      <c r="AF169" s="32" t="s">
        <v>152</v>
      </c>
      <c r="AH169" s="23" t="s">
        <v>65</v>
      </c>
      <c r="AI169" s="23" t="s">
        <v>77</v>
      </c>
      <c r="AK169" s="22">
        <v>56</v>
      </c>
      <c r="AZ169" s="6"/>
      <c r="BH169" s="6"/>
      <c r="BI169" s="6"/>
      <c r="BN169" s="6"/>
      <c r="BO169" s="6"/>
      <c r="BP169" s="6"/>
      <c r="BQ169" s="6"/>
      <c r="EG169" s="6"/>
    </row>
    <row r="170" spans="1:137" ht="36" customHeight="1" x14ac:dyDescent="0.25">
      <c r="H170" s="20"/>
    </row>
    <row r="171" spans="1:137" ht="36" customHeight="1" x14ac:dyDescent="0.25">
      <c r="H171" s="20"/>
    </row>
    <row r="172" spans="1:137" ht="36" customHeight="1" x14ac:dyDescent="0.25">
      <c r="H172" s="20"/>
    </row>
    <row r="173" spans="1:137" ht="36" customHeight="1" x14ac:dyDescent="0.25">
      <c r="H173" s="20"/>
    </row>
    <row r="174" spans="1:137" ht="36" customHeight="1" x14ac:dyDescent="0.25">
      <c r="H174" s="20"/>
    </row>
    <row r="175" spans="1:137" ht="36" customHeight="1" x14ac:dyDescent="0.25">
      <c r="H175" s="20"/>
    </row>
    <row r="176" spans="1:137" ht="36" customHeight="1" x14ac:dyDescent="0.25">
      <c r="H176" s="20"/>
    </row>
    <row r="177" spans="8:8" ht="36" customHeight="1" x14ac:dyDescent="0.25">
      <c r="H177" s="20"/>
    </row>
    <row r="178" spans="8:8" ht="36" customHeight="1" x14ac:dyDescent="0.25">
      <c r="H178" s="20"/>
    </row>
    <row r="179" spans="8:8" ht="36" customHeight="1" x14ac:dyDescent="0.25">
      <c r="H179" s="20"/>
    </row>
    <row r="180" spans="8:8" ht="36" customHeight="1" x14ac:dyDescent="0.25">
      <c r="H180" s="20"/>
    </row>
    <row r="181" spans="8:8" ht="36" customHeight="1" x14ac:dyDescent="0.25">
      <c r="H181" s="20"/>
    </row>
    <row r="182" spans="8:8" ht="36" customHeight="1" x14ac:dyDescent="0.25">
      <c r="H182" s="20"/>
    </row>
    <row r="183" spans="8:8" ht="36" customHeight="1" x14ac:dyDescent="0.25">
      <c r="H183" s="20"/>
    </row>
    <row r="184" spans="8:8" ht="36" customHeight="1" x14ac:dyDescent="0.25">
      <c r="H184" s="20"/>
    </row>
    <row r="185" spans="8:8" ht="36" customHeight="1" x14ac:dyDescent="0.25">
      <c r="H185" s="20"/>
    </row>
    <row r="186" spans="8:8" ht="36" customHeight="1" x14ac:dyDescent="0.25">
      <c r="H186" s="20"/>
    </row>
    <row r="187" spans="8:8" ht="36" customHeight="1" x14ac:dyDescent="0.25">
      <c r="H187" s="20"/>
    </row>
    <row r="188" spans="8:8" ht="36" customHeight="1" x14ac:dyDescent="0.25">
      <c r="H188" s="20"/>
    </row>
    <row r="189" spans="8:8" ht="36" customHeight="1" x14ac:dyDescent="0.25">
      <c r="H189" s="20"/>
    </row>
    <row r="190" spans="8:8" ht="36" customHeight="1" x14ac:dyDescent="0.25">
      <c r="H190" s="20"/>
    </row>
    <row r="191" spans="8:8" ht="36" customHeight="1" x14ac:dyDescent="0.25">
      <c r="H191" s="20"/>
    </row>
    <row r="192" spans="8:8" ht="36" customHeight="1" x14ac:dyDescent="0.25">
      <c r="H192" s="20"/>
    </row>
    <row r="193" spans="8:8" ht="36" customHeight="1" x14ac:dyDescent="0.25">
      <c r="H193" s="20"/>
    </row>
    <row r="194" spans="8:8" ht="36" customHeight="1" x14ac:dyDescent="0.25">
      <c r="H194" s="20"/>
    </row>
    <row r="195" spans="8:8" ht="36" customHeight="1" x14ac:dyDescent="0.25">
      <c r="H195" s="20"/>
    </row>
    <row r="196" spans="8:8" ht="36" customHeight="1" x14ac:dyDescent="0.25">
      <c r="H196" s="20"/>
    </row>
    <row r="197" spans="8:8" ht="36" customHeight="1" x14ac:dyDescent="0.25">
      <c r="H197" s="20"/>
    </row>
    <row r="198" spans="8:8" ht="36" customHeight="1" x14ac:dyDescent="0.25">
      <c r="H198" s="20"/>
    </row>
    <row r="199" spans="8:8" ht="36" customHeight="1" x14ac:dyDescent="0.25">
      <c r="H199" s="20"/>
    </row>
    <row r="200" spans="8:8" ht="36" customHeight="1" x14ac:dyDescent="0.25">
      <c r="H200" s="20"/>
    </row>
    <row r="201" spans="8:8" ht="36" customHeight="1" x14ac:dyDescent="0.25">
      <c r="H201" s="20"/>
    </row>
    <row r="202" spans="8:8" ht="36" customHeight="1" x14ac:dyDescent="0.25">
      <c r="H202" s="20"/>
    </row>
    <row r="203" spans="8:8" ht="36" customHeight="1" x14ac:dyDescent="0.25">
      <c r="H203" s="20"/>
    </row>
    <row r="204" spans="8:8" ht="36" customHeight="1" x14ac:dyDescent="0.25">
      <c r="H204" s="20"/>
    </row>
    <row r="205" spans="8:8" ht="36" customHeight="1" x14ac:dyDescent="0.25">
      <c r="H205" s="20"/>
    </row>
    <row r="206" spans="8:8" ht="36" customHeight="1" x14ac:dyDescent="0.25">
      <c r="H206" s="20"/>
    </row>
    <row r="207" spans="8:8" ht="36" customHeight="1" x14ac:dyDescent="0.25">
      <c r="H207" s="20"/>
    </row>
    <row r="208" spans="8:8" ht="36" customHeight="1" x14ac:dyDescent="0.25">
      <c r="H208" s="20"/>
    </row>
    <row r="209" spans="8:8" ht="36" customHeight="1" x14ac:dyDescent="0.25">
      <c r="H209" s="20"/>
    </row>
    <row r="210" spans="8:8" ht="36" customHeight="1" x14ac:dyDescent="0.25">
      <c r="H210" s="20"/>
    </row>
    <row r="211" spans="8:8" ht="36" customHeight="1" x14ac:dyDescent="0.25">
      <c r="H211" s="20"/>
    </row>
    <row r="212" spans="8:8" ht="36" customHeight="1" x14ac:dyDescent="0.25">
      <c r="H212" s="20"/>
    </row>
    <row r="213" spans="8:8" ht="36" customHeight="1" x14ac:dyDescent="0.25">
      <c r="H213" s="20"/>
    </row>
    <row r="214" spans="8:8" ht="36" customHeight="1" x14ac:dyDescent="0.25">
      <c r="H214" s="20"/>
    </row>
    <row r="215" spans="8:8" ht="36" customHeight="1" x14ac:dyDescent="0.25">
      <c r="H215" s="20"/>
    </row>
    <row r="216" spans="8:8" ht="36" customHeight="1" x14ac:dyDescent="0.25">
      <c r="H216" s="20"/>
    </row>
    <row r="217" spans="8:8" ht="36" customHeight="1" x14ac:dyDescent="0.25">
      <c r="H217" s="20"/>
    </row>
    <row r="218" spans="8:8" ht="36" customHeight="1" x14ac:dyDescent="0.25">
      <c r="H218" s="20"/>
    </row>
    <row r="219" spans="8:8" ht="36" customHeight="1" x14ac:dyDescent="0.25">
      <c r="H219" s="20"/>
    </row>
    <row r="220" spans="8:8" ht="36" customHeight="1" x14ac:dyDescent="0.25">
      <c r="H220" s="20"/>
    </row>
    <row r="221" spans="8:8" ht="36" customHeight="1" x14ac:dyDescent="0.25">
      <c r="H221" s="20"/>
    </row>
    <row r="222" spans="8:8" ht="36" customHeight="1" x14ac:dyDescent="0.25">
      <c r="H222" s="20"/>
    </row>
    <row r="223" spans="8:8" ht="36" customHeight="1" x14ac:dyDescent="0.25">
      <c r="H223" s="20"/>
    </row>
    <row r="224" spans="8:8" ht="36" customHeight="1" x14ac:dyDescent="0.25">
      <c r="H224" s="20"/>
    </row>
    <row r="225" spans="8:8" ht="36" customHeight="1" x14ac:dyDescent="0.25">
      <c r="H225" s="20"/>
    </row>
    <row r="226" spans="8:8" ht="36" customHeight="1" x14ac:dyDescent="0.25">
      <c r="H226" s="20"/>
    </row>
    <row r="227" spans="8:8" ht="36" customHeight="1" x14ac:dyDescent="0.25">
      <c r="H227" s="20"/>
    </row>
    <row r="228" spans="8:8" ht="36" customHeight="1" x14ac:dyDescent="0.25">
      <c r="H228" s="20"/>
    </row>
    <row r="229" spans="8:8" ht="36" customHeight="1" x14ac:dyDescent="0.25">
      <c r="H229" s="20"/>
    </row>
    <row r="230" spans="8:8" ht="36" customHeight="1" x14ac:dyDescent="0.25">
      <c r="H230" s="20"/>
    </row>
    <row r="231" spans="8:8" ht="36" customHeight="1" x14ac:dyDescent="0.25">
      <c r="H231" s="20"/>
    </row>
    <row r="232" spans="8:8" ht="36" customHeight="1" x14ac:dyDescent="0.25">
      <c r="H232" s="20"/>
    </row>
    <row r="233" spans="8:8" ht="36" customHeight="1" x14ac:dyDescent="0.25">
      <c r="H233" s="20"/>
    </row>
    <row r="234" spans="8:8" ht="36" customHeight="1" x14ac:dyDescent="0.25">
      <c r="H234" s="20"/>
    </row>
    <row r="235" spans="8:8" ht="36" customHeight="1" x14ac:dyDescent="0.25">
      <c r="H235" s="20"/>
    </row>
    <row r="236" spans="8:8" ht="36" customHeight="1" x14ac:dyDescent="0.25">
      <c r="H236" s="20"/>
    </row>
    <row r="237" spans="8:8" ht="36" customHeight="1" x14ac:dyDescent="0.25">
      <c r="H237" s="20"/>
    </row>
    <row r="238" spans="8:8" ht="36" customHeight="1" x14ac:dyDescent="0.25">
      <c r="H238" s="20"/>
    </row>
    <row r="239" spans="8:8" ht="36" customHeight="1" x14ac:dyDescent="0.25">
      <c r="H239" s="20"/>
    </row>
    <row r="240" spans="8:8" ht="36" customHeight="1" x14ac:dyDescent="0.25">
      <c r="H240" s="20"/>
    </row>
    <row r="241" spans="8:8" ht="36" customHeight="1" x14ac:dyDescent="0.25">
      <c r="H241" s="20"/>
    </row>
    <row r="242" spans="8:8" ht="36" customHeight="1" x14ac:dyDescent="0.25">
      <c r="H242" s="20"/>
    </row>
    <row r="243" spans="8:8" ht="36" customHeight="1" x14ac:dyDescent="0.25">
      <c r="H243" s="20"/>
    </row>
    <row r="244" spans="8:8" ht="36" customHeight="1" x14ac:dyDescent="0.25">
      <c r="H244" s="20"/>
    </row>
    <row r="245" spans="8:8" ht="36" customHeight="1" x14ac:dyDescent="0.25">
      <c r="H245" s="20"/>
    </row>
    <row r="246" spans="8:8" ht="36" customHeight="1" x14ac:dyDescent="0.25">
      <c r="H246" s="20"/>
    </row>
    <row r="247" spans="8:8" ht="36" customHeight="1" x14ac:dyDescent="0.25">
      <c r="H247" s="20"/>
    </row>
    <row r="248" spans="8:8" ht="36" customHeight="1" x14ac:dyDescent="0.25">
      <c r="H248" s="20"/>
    </row>
    <row r="249" spans="8:8" ht="36" customHeight="1" x14ac:dyDescent="0.25">
      <c r="H249" s="20"/>
    </row>
    <row r="250" spans="8:8" ht="36" customHeight="1" x14ac:dyDescent="0.25">
      <c r="H250" s="20"/>
    </row>
    <row r="251" spans="8:8" ht="36" customHeight="1" x14ac:dyDescent="0.25">
      <c r="H251" s="20"/>
    </row>
    <row r="252" spans="8:8" ht="36" customHeight="1" x14ac:dyDescent="0.25">
      <c r="H252" s="20"/>
    </row>
    <row r="253" spans="8:8" ht="36" customHeight="1" x14ac:dyDescent="0.25">
      <c r="H253" s="20"/>
    </row>
    <row r="254" spans="8:8" ht="36" customHeight="1" x14ac:dyDescent="0.25">
      <c r="H254" s="20"/>
    </row>
    <row r="255" spans="8:8" ht="36" customHeight="1" x14ac:dyDescent="0.25">
      <c r="H255" s="20"/>
    </row>
    <row r="256" spans="8:8" ht="36" customHeight="1" x14ac:dyDescent="0.25">
      <c r="H256" s="20"/>
    </row>
    <row r="257" spans="8:8" ht="36" customHeight="1" x14ac:dyDescent="0.25">
      <c r="H257" s="20"/>
    </row>
    <row r="258" spans="8:8" ht="36" customHeight="1" x14ac:dyDescent="0.25">
      <c r="H258" s="20"/>
    </row>
    <row r="259" spans="8:8" ht="36" customHeight="1" x14ac:dyDescent="0.25">
      <c r="H259" s="20"/>
    </row>
    <row r="260" spans="8:8" ht="36" customHeight="1" x14ac:dyDescent="0.25">
      <c r="H260" s="20"/>
    </row>
    <row r="261" spans="8:8" ht="36" customHeight="1" x14ac:dyDescent="0.25">
      <c r="H261" s="20"/>
    </row>
    <row r="262" spans="8:8" ht="36" customHeight="1" x14ac:dyDescent="0.25">
      <c r="H262" s="20"/>
    </row>
    <row r="263" spans="8:8" ht="36" customHeight="1" x14ac:dyDescent="0.25">
      <c r="H263" s="20"/>
    </row>
    <row r="264" spans="8:8" ht="36" customHeight="1" x14ac:dyDescent="0.25">
      <c r="H264" s="20"/>
    </row>
    <row r="265" spans="8:8" ht="36" customHeight="1" x14ac:dyDescent="0.25">
      <c r="H265" s="20"/>
    </row>
    <row r="266" spans="8:8" ht="36" customHeight="1" x14ac:dyDescent="0.25">
      <c r="H266" s="20"/>
    </row>
    <row r="267" spans="8:8" ht="36" customHeight="1" x14ac:dyDescent="0.25">
      <c r="H267" s="20"/>
    </row>
    <row r="268" spans="8:8" ht="36" customHeight="1" x14ac:dyDescent="0.25">
      <c r="H268" s="20"/>
    </row>
    <row r="269" spans="8:8" ht="36" customHeight="1" x14ac:dyDescent="0.25">
      <c r="H269" s="20"/>
    </row>
    <row r="270" spans="8:8" ht="36" customHeight="1" x14ac:dyDescent="0.25">
      <c r="H270" s="20"/>
    </row>
    <row r="271" spans="8:8" ht="36" customHeight="1" x14ac:dyDescent="0.25">
      <c r="H271" s="20"/>
    </row>
    <row r="272" spans="8:8" ht="36" customHeight="1" x14ac:dyDescent="0.25">
      <c r="H272" s="20"/>
    </row>
    <row r="273" spans="8:8" ht="36" customHeight="1" x14ac:dyDescent="0.25">
      <c r="H273" s="20"/>
    </row>
    <row r="274" spans="8:8" ht="36" customHeight="1" x14ac:dyDescent="0.25">
      <c r="H274" s="20"/>
    </row>
    <row r="275" spans="8:8" ht="36" customHeight="1" x14ac:dyDescent="0.25">
      <c r="H275" s="20"/>
    </row>
    <row r="276" spans="8:8" ht="36" customHeight="1" x14ac:dyDescent="0.25">
      <c r="H276" s="20"/>
    </row>
    <row r="277" spans="8:8" ht="36" customHeight="1" x14ac:dyDescent="0.25">
      <c r="H277" s="20"/>
    </row>
    <row r="278" spans="8:8" ht="36" customHeight="1" x14ac:dyDescent="0.25">
      <c r="H278" s="20"/>
    </row>
    <row r="279" spans="8:8" ht="36" customHeight="1" x14ac:dyDescent="0.25">
      <c r="H279" s="20"/>
    </row>
    <row r="280" spans="8:8" ht="36" customHeight="1" x14ac:dyDescent="0.25">
      <c r="H280" s="20"/>
    </row>
    <row r="281" spans="8:8" ht="36" customHeight="1" x14ac:dyDescent="0.25">
      <c r="H281" s="20"/>
    </row>
    <row r="282" spans="8:8" ht="36" customHeight="1" x14ac:dyDescent="0.25">
      <c r="H282" s="20"/>
    </row>
    <row r="283" spans="8:8" ht="36" customHeight="1" x14ac:dyDescent="0.25">
      <c r="H283" s="20"/>
    </row>
    <row r="284" spans="8:8" ht="36" customHeight="1" x14ac:dyDescent="0.25">
      <c r="H284" s="20"/>
    </row>
    <row r="285" spans="8:8" ht="36" customHeight="1" x14ac:dyDescent="0.25">
      <c r="H285" s="20"/>
    </row>
    <row r="286" spans="8:8" ht="36" customHeight="1" x14ac:dyDescent="0.25">
      <c r="H286" s="20"/>
    </row>
    <row r="287" spans="8:8" ht="36" customHeight="1" x14ac:dyDescent="0.25">
      <c r="H287" s="20"/>
    </row>
    <row r="288" spans="8:8" ht="36" customHeight="1" x14ac:dyDescent="0.25">
      <c r="H288" s="20"/>
    </row>
    <row r="289" spans="8:8" ht="36" customHeight="1" x14ac:dyDescent="0.25">
      <c r="H289" s="20"/>
    </row>
    <row r="290" spans="8:8" ht="36" customHeight="1" x14ac:dyDescent="0.25">
      <c r="H290" s="20"/>
    </row>
    <row r="291" spans="8:8" ht="36" customHeight="1" x14ac:dyDescent="0.25">
      <c r="H291" s="20"/>
    </row>
    <row r="292" spans="8:8" ht="36" customHeight="1" x14ac:dyDescent="0.25">
      <c r="H292" s="20"/>
    </row>
    <row r="293" spans="8:8" ht="36" customHeight="1" x14ac:dyDescent="0.25">
      <c r="H293" s="20"/>
    </row>
    <row r="294" spans="8:8" ht="36" customHeight="1" x14ac:dyDescent="0.25">
      <c r="H294" s="20"/>
    </row>
    <row r="295" spans="8:8" ht="36" customHeight="1" x14ac:dyDescent="0.25">
      <c r="H295" s="20"/>
    </row>
    <row r="296" spans="8:8" ht="36" customHeight="1" x14ac:dyDescent="0.25">
      <c r="H296" s="20"/>
    </row>
    <row r="297" spans="8:8" ht="36" customHeight="1" x14ac:dyDescent="0.25">
      <c r="H297" s="20"/>
    </row>
    <row r="298" spans="8:8" ht="36" customHeight="1" x14ac:dyDescent="0.25">
      <c r="H298" s="20"/>
    </row>
    <row r="299" spans="8:8" ht="36" customHeight="1" x14ac:dyDescent="0.25">
      <c r="H299" s="20"/>
    </row>
    <row r="300" spans="8:8" ht="36" customHeight="1" x14ac:dyDescent="0.25">
      <c r="H300" s="20"/>
    </row>
    <row r="301" spans="8:8" ht="36" customHeight="1" x14ac:dyDescent="0.25">
      <c r="H301" s="20"/>
    </row>
    <row r="302" spans="8:8" ht="36" customHeight="1" x14ac:dyDescent="0.25">
      <c r="H302" s="20"/>
    </row>
    <row r="303" spans="8:8" ht="36" customHeight="1" x14ac:dyDescent="0.25">
      <c r="H303" s="20"/>
    </row>
    <row r="304" spans="8:8" ht="36" customHeight="1" x14ac:dyDescent="0.25">
      <c r="H304" s="20"/>
    </row>
    <row r="305" spans="8:8" ht="36" customHeight="1" x14ac:dyDescent="0.25">
      <c r="H305" s="20"/>
    </row>
    <row r="306" spans="8:8" ht="36" customHeight="1" x14ac:dyDescent="0.25">
      <c r="H306" s="20"/>
    </row>
    <row r="307" spans="8:8" ht="36" customHeight="1" x14ac:dyDescent="0.25">
      <c r="H307" s="20"/>
    </row>
    <row r="308" spans="8:8" ht="36" customHeight="1" x14ac:dyDescent="0.25">
      <c r="H308" s="20"/>
    </row>
    <row r="309" spans="8:8" ht="36" customHeight="1" x14ac:dyDescent="0.25">
      <c r="H309" s="20"/>
    </row>
    <row r="310" spans="8:8" ht="36" customHeight="1" x14ac:dyDescent="0.25">
      <c r="H310" s="20"/>
    </row>
    <row r="311" spans="8:8" ht="36" customHeight="1" x14ac:dyDescent="0.25">
      <c r="H311" s="20"/>
    </row>
    <row r="312" spans="8:8" ht="36" customHeight="1" x14ac:dyDescent="0.25">
      <c r="H312" s="20"/>
    </row>
    <row r="313" spans="8:8" ht="36" customHeight="1" x14ac:dyDescent="0.25">
      <c r="H313" s="20"/>
    </row>
    <row r="314" spans="8:8" ht="36" customHeight="1" x14ac:dyDescent="0.25">
      <c r="H314" s="20"/>
    </row>
    <row r="315" spans="8:8" ht="36" customHeight="1" x14ac:dyDescent="0.25">
      <c r="H315" s="20"/>
    </row>
    <row r="316" spans="8:8" ht="36" customHeight="1" x14ac:dyDescent="0.25">
      <c r="H316" s="20"/>
    </row>
    <row r="317" spans="8:8" ht="36" customHeight="1" x14ac:dyDescent="0.25">
      <c r="H317" s="20"/>
    </row>
    <row r="318" spans="8:8" ht="36" customHeight="1" x14ac:dyDescent="0.25">
      <c r="H318" s="20"/>
    </row>
    <row r="319" spans="8:8" ht="36" customHeight="1" x14ac:dyDescent="0.25">
      <c r="H319" s="20"/>
    </row>
    <row r="320" spans="8:8" ht="36" customHeight="1" x14ac:dyDescent="0.25">
      <c r="H320" s="20"/>
    </row>
    <row r="321" spans="8:8" ht="36" customHeight="1" x14ac:dyDescent="0.25">
      <c r="H321" s="20"/>
    </row>
    <row r="322" spans="8:8" ht="36" customHeight="1" x14ac:dyDescent="0.25">
      <c r="H322" s="20"/>
    </row>
    <row r="323" spans="8:8" ht="36" customHeight="1" x14ac:dyDescent="0.25">
      <c r="H323" s="20"/>
    </row>
    <row r="324" spans="8:8" ht="36" customHeight="1" x14ac:dyDescent="0.25">
      <c r="H324" s="20"/>
    </row>
    <row r="325" spans="8:8" ht="36" customHeight="1" x14ac:dyDescent="0.25">
      <c r="H325" s="20"/>
    </row>
    <row r="326" spans="8:8" ht="36" customHeight="1" x14ac:dyDescent="0.25">
      <c r="H326" s="20"/>
    </row>
    <row r="327" spans="8:8" ht="36" customHeight="1" x14ac:dyDescent="0.25">
      <c r="H327" s="20"/>
    </row>
    <row r="328" spans="8:8" ht="36" customHeight="1" x14ac:dyDescent="0.25">
      <c r="H328" s="20"/>
    </row>
    <row r="329" spans="8:8" ht="36" customHeight="1" x14ac:dyDescent="0.25">
      <c r="H329" s="20"/>
    </row>
    <row r="330" spans="8:8" ht="36" customHeight="1" x14ac:dyDescent="0.25">
      <c r="H330" s="20"/>
    </row>
    <row r="331" spans="8:8" ht="36" customHeight="1" x14ac:dyDescent="0.25">
      <c r="H331" s="20"/>
    </row>
    <row r="332" spans="8:8" ht="36" customHeight="1" x14ac:dyDescent="0.25">
      <c r="H332" s="20"/>
    </row>
    <row r="333" spans="8:8" ht="36" customHeight="1" x14ac:dyDescent="0.25">
      <c r="H333" s="20"/>
    </row>
    <row r="334" spans="8:8" ht="36" customHeight="1" x14ac:dyDescent="0.25">
      <c r="H334" s="20"/>
    </row>
    <row r="335" spans="8:8" ht="36" customHeight="1" x14ac:dyDescent="0.25">
      <c r="H335" s="20"/>
    </row>
    <row r="336" spans="8:8" ht="36" customHeight="1" x14ac:dyDescent="0.25">
      <c r="H336" s="20"/>
    </row>
    <row r="337" spans="8:8" ht="36" customHeight="1" x14ac:dyDescent="0.25">
      <c r="H337" s="20"/>
    </row>
    <row r="338" spans="8:8" ht="36" customHeight="1" x14ac:dyDescent="0.25">
      <c r="H338" s="20"/>
    </row>
    <row r="339" spans="8:8" ht="36" customHeight="1" x14ac:dyDescent="0.25">
      <c r="H339" s="20"/>
    </row>
    <row r="340" spans="8:8" ht="36" customHeight="1" x14ac:dyDescent="0.25">
      <c r="H340" s="20"/>
    </row>
    <row r="341" spans="8:8" ht="36" customHeight="1" x14ac:dyDescent="0.25">
      <c r="H341" s="20"/>
    </row>
    <row r="342" spans="8:8" ht="36" customHeight="1" x14ac:dyDescent="0.25">
      <c r="H342" s="20"/>
    </row>
    <row r="343" spans="8:8" ht="36" customHeight="1" x14ac:dyDescent="0.25">
      <c r="H343" s="20"/>
    </row>
    <row r="344" spans="8:8" ht="36" customHeight="1" x14ac:dyDescent="0.25">
      <c r="H344" s="20"/>
    </row>
    <row r="345" spans="8:8" ht="36" customHeight="1" x14ac:dyDescent="0.25">
      <c r="H345" s="20"/>
    </row>
    <row r="346" spans="8:8" ht="36" customHeight="1" x14ac:dyDescent="0.25">
      <c r="H346" s="20"/>
    </row>
    <row r="347" spans="8:8" ht="36" customHeight="1" x14ac:dyDescent="0.25">
      <c r="H347" s="20"/>
    </row>
    <row r="348" spans="8:8" ht="36" customHeight="1" x14ac:dyDescent="0.25">
      <c r="H348" s="20"/>
    </row>
    <row r="349" spans="8:8" ht="36" customHeight="1" x14ac:dyDescent="0.25">
      <c r="H349" s="20"/>
    </row>
    <row r="350" spans="8:8" ht="36" customHeight="1" x14ac:dyDescent="0.25">
      <c r="H350" s="20"/>
    </row>
    <row r="351" spans="8:8" ht="36" customHeight="1" x14ac:dyDescent="0.25">
      <c r="H351" s="20"/>
    </row>
    <row r="352" spans="8:8" ht="36" customHeight="1" x14ac:dyDescent="0.25">
      <c r="H352" s="20"/>
    </row>
    <row r="353" spans="8:8" ht="36" customHeight="1" x14ac:dyDescent="0.25">
      <c r="H353" s="20"/>
    </row>
    <row r="354" spans="8:8" ht="36" customHeight="1" x14ac:dyDescent="0.25">
      <c r="H354" s="20"/>
    </row>
    <row r="355" spans="8:8" ht="36" customHeight="1" x14ac:dyDescent="0.25">
      <c r="H355" s="20"/>
    </row>
    <row r="356" spans="8:8" ht="36" customHeight="1" x14ac:dyDescent="0.25">
      <c r="H356" s="20"/>
    </row>
    <row r="357" spans="8:8" ht="36" customHeight="1" x14ac:dyDescent="0.25">
      <c r="H357" s="20"/>
    </row>
    <row r="358" spans="8:8" ht="36" customHeight="1" x14ac:dyDescent="0.25">
      <c r="H358" s="20"/>
    </row>
    <row r="359" spans="8:8" ht="36" customHeight="1" x14ac:dyDescent="0.25">
      <c r="H359" s="20"/>
    </row>
    <row r="360" spans="8:8" ht="36" customHeight="1" x14ac:dyDescent="0.25">
      <c r="H360" s="20"/>
    </row>
    <row r="361" spans="8:8" ht="36" customHeight="1" x14ac:dyDescent="0.25">
      <c r="H361" s="20"/>
    </row>
    <row r="362" spans="8:8" ht="36" customHeight="1" x14ac:dyDescent="0.25">
      <c r="H362" s="20"/>
    </row>
    <row r="363" spans="8:8" ht="36" customHeight="1" x14ac:dyDescent="0.25">
      <c r="H363" s="20"/>
    </row>
    <row r="364" spans="8:8" ht="36" customHeight="1" x14ac:dyDescent="0.25">
      <c r="H364" s="20"/>
    </row>
    <row r="365" spans="8:8" ht="36" customHeight="1" x14ac:dyDescent="0.25">
      <c r="H365" s="20"/>
    </row>
    <row r="366" spans="8:8" ht="36" customHeight="1" x14ac:dyDescent="0.25">
      <c r="H366" s="20"/>
    </row>
    <row r="367" spans="8:8" ht="36" customHeight="1" x14ac:dyDescent="0.25">
      <c r="H367" s="20"/>
    </row>
    <row r="368" spans="8:8" ht="36" customHeight="1" x14ac:dyDescent="0.25">
      <c r="H368" s="20"/>
    </row>
    <row r="369" spans="8:8" ht="36" customHeight="1" x14ac:dyDescent="0.25">
      <c r="H369" s="20"/>
    </row>
    <row r="370" spans="8:8" ht="36" customHeight="1" x14ac:dyDescent="0.25">
      <c r="H370" s="20"/>
    </row>
    <row r="371" spans="8:8" ht="36" customHeight="1" x14ac:dyDescent="0.25">
      <c r="H371" s="20"/>
    </row>
    <row r="372" spans="8:8" ht="36" customHeight="1" x14ac:dyDescent="0.25">
      <c r="H372" s="20"/>
    </row>
    <row r="373" spans="8:8" ht="36" customHeight="1" x14ac:dyDescent="0.25">
      <c r="H373" s="20"/>
    </row>
    <row r="374" spans="8:8" ht="36" customHeight="1" x14ac:dyDescent="0.25">
      <c r="H374" s="20"/>
    </row>
    <row r="375" spans="8:8" ht="36" customHeight="1" x14ac:dyDescent="0.25">
      <c r="H375" s="20"/>
    </row>
    <row r="376" spans="8:8" ht="36" customHeight="1" x14ac:dyDescent="0.25">
      <c r="H376" s="20"/>
    </row>
    <row r="377" spans="8:8" ht="36" customHeight="1" x14ac:dyDescent="0.25">
      <c r="H377" s="20"/>
    </row>
    <row r="378" spans="8:8" ht="36" customHeight="1" x14ac:dyDescent="0.25">
      <c r="H378" s="20"/>
    </row>
    <row r="379" spans="8:8" ht="36" customHeight="1" x14ac:dyDescent="0.25">
      <c r="H379" s="20"/>
    </row>
    <row r="380" spans="8:8" ht="36" customHeight="1" x14ac:dyDescent="0.25">
      <c r="H380" s="20"/>
    </row>
    <row r="381" spans="8:8" ht="36" customHeight="1" x14ac:dyDescent="0.25">
      <c r="H381" s="20"/>
    </row>
    <row r="382" spans="8:8" ht="36" customHeight="1" x14ac:dyDescent="0.25">
      <c r="H382" s="20"/>
    </row>
    <row r="383" spans="8:8" ht="36" customHeight="1" x14ac:dyDescent="0.25">
      <c r="H383" s="20"/>
    </row>
    <row r="384" spans="8:8" ht="36" customHeight="1" x14ac:dyDescent="0.25">
      <c r="H384" s="20"/>
    </row>
    <row r="385" spans="8:8" ht="36" customHeight="1" x14ac:dyDescent="0.25">
      <c r="H385" s="20"/>
    </row>
    <row r="386" spans="8:8" ht="36" customHeight="1" x14ac:dyDescent="0.25">
      <c r="H386" s="20"/>
    </row>
    <row r="387" spans="8:8" ht="36" customHeight="1" x14ac:dyDescent="0.25">
      <c r="H387" s="20"/>
    </row>
    <row r="388" spans="8:8" ht="36" customHeight="1" x14ac:dyDescent="0.25">
      <c r="H388" s="20"/>
    </row>
    <row r="389" spans="8:8" ht="36" customHeight="1" x14ac:dyDescent="0.25">
      <c r="H389" s="20"/>
    </row>
    <row r="390" spans="8:8" ht="36" customHeight="1" x14ac:dyDescent="0.25">
      <c r="H390" s="20"/>
    </row>
    <row r="391" spans="8:8" ht="36" customHeight="1" x14ac:dyDescent="0.25">
      <c r="H391" s="20"/>
    </row>
    <row r="392" spans="8:8" ht="36" customHeight="1" x14ac:dyDescent="0.25">
      <c r="H392" s="20"/>
    </row>
    <row r="393" spans="8:8" ht="36" customHeight="1" x14ac:dyDescent="0.25">
      <c r="H393" s="20"/>
    </row>
    <row r="394" spans="8:8" ht="36" customHeight="1" x14ac:dyDescent="0.25">
      <c r="H394" s="20"/>
    </row>
    <row r="395" spans="8:8" ht="36" customHeight="1" x14ac:dyDescent="0.25">
      <c r="H395" s="20"/>
    </row>
    <row r="396" spans="8:8" ht="36" customHeight="1" x14ac:dyDescent="0.25">
      <c r="H396" s="20"/>
    </row>
    <row r="397" spans="8:8" ht="36" customHeight="1" x14ac:dyDescent="0.25">
      <c r="H397" s="20"/>
    </row>
    <row r="398" spans="8:8" ht="36" customHeight="1" x14ac:dyDescent="0.25">
      <c r="H398" s="20"/>
    </row>
    <row r="399" spans="8:8" ht="36" customHeight="1" x14ac:dyDescent="0.25">
      <c r="H399" s="20"/>
    </row>
    <row r="400" spans="8:8" ht="36" customHeight="1" x14ac:dyDescent="0.25">
      <c r="H400" s="20"/>
    </row>
    <row r="401" spans="8:8" ht="36" customHeight="1" x14ac:dyDescent="0.25">
      <c r="H401" s="20"/>
    </row>
    <row r="402" spans="8:8" ht="36" customHeight="1" x14ac:dyDescent="0.25">
      <c r="H402" s="20"/>
    </row>
    <row r="403" spans="8:8" ht="36" customHeight="1" x14ac:dyDescent="0.25">
      <c r="H403" s="20"/>
    </row>
    <row r="404" spans="8:8" ht="36" customHeight="1" x14ac:dyDescent="0.25">
      <c r="H404" s="20"/>
    </row>
    <row r="405" spans="8:8" ht="36" customHeight="1" x14ac:dyDescent="0.25">
      <c r="H405" s="20"/>
    </row>
    <row r="406" spans="8:8" ht="36" customHeight="1" x14ac:dyDescent="0.25">
      <c r="H406" s="20"/>
    </row>
    <row r="407" spans="8:8" ht="36" customHeight="1" x14ac:dyDescent="0.25">
      <c r="H407" s="20"/>
    </row>
    <row r="408" spans="8:8" ht="36" customHeight="1" x14ac:dyDescent="0.25">
      <c r="H408" s="20"/>
    </row>
    <row r="409" spans="8:8" ht="36" customHeight="1" x14ac:dyDescent="0.25">
      <c r="H409" s="20"/>
    </row>
    <row r="410" spans="8:8" ht="36" customHeight="1" x14ac:dyDescent="0.25">
      <c r="H410" s="20"/>
    </row>
    <row r="411" spans="8:8" ht="36" customHeight="1" x14ac:dyDescent="0.25">
      <c r="H411" s="20"/>
    </row>
    <row r="412" spans="8:8" ht="36" customHeight="1" x14ac:dyDescent="0.25">
      <c r="H412" s="20"/>
    </row>
    <row r="413" spans="8:8" ht="36" customHeight="1" x14ac:dyDescent="0.25">
      <c r="H413" s="20"/>
    </row>
    <row r="414" spans="8:8" ht="36" customHeight="1" x14ac:dyDescent="0.25">
      <c r="H414" s="20"/>
    </row>
    <row r="415" spans="8:8" ht="36" customHeight="1" x14ac:dyDescent="0.25">
      <c r="H415" s="20"/>
    </row>
    <row r="416" spans="8:8" ht="36" customHeight="1" x14ac:dyDescent="0.25">
      <c r="H416" s="20"/>
    </row>
    <row r="417" spans="8:8" ht="36" customHeight="1" x14ac:dyDescent="0.25">
      <c r="H417" s="20"/>
    </row>
    <row r="418" spans="8:8" ht="36" customHeight="1" x14ac:dyDescent="0.25">
      <c r="H418" s="20"/>
    </row>
    <row r="419" spans="8:8" ht="36" customHeight="1" x14ac:dyDescent="0.25">
      <c r="H419" s="20"/>
    </row>
    <row r="420" spans="8:8" ht="36" customHeight="1" x14ac:dyDescent="0.25">
      <c r="H420" s="20"/>
    </row>
    <row r="421" spans="8:8" ht="36" customHeight="1" x14ac:dyDescent="0.25">
      <c r="H421" s="20"/>
    </row>
    <row r="422" spans="8:8" ht="36" customHeight="1" x14ac:dyDescent="0.25">
      <c r="H422" s="20"/>
    </row>
    <row r="423" spans="8:8" ht="36" customHeight="1" x14ac:dyDescent="0.25">
      <c r="H423" s="20"/>
    </row>
    <row r="424" spans="8:8" ht="36" customHeight="1" x14ac:dyDescent="0.25">
      <c r="H424" s="20"/>
    </row>
    <row r="425" spans="8:8" ht="36" customHeight="1" x14ac:dyDescent="0.25">
      <c r="H425" s="20"/>
    </row>
    <row r="426" spans="8:8" ht="36" customHeight="1" x14ac:dyDescent="0.25">
      <c r="H426" s="20"/>
    </row>
    <row r="427" spans="8:8" ht="36" customHeight="1" x14ac:dyDescent="0.25">
      <c r="H427" s="20"/>
    </row>
    <row r="428" spans="8:8" ht="36" customHeight="1" x14ac:dyDescent="0.25">
      <c r="H428" s="20"/>
    </row>
    <row r="429" spans="8:8" ht="36" customHeight="1" x14ac:dyDescent="0.25">
      <c r="H429" s="20"/>
    </row>
    <row r="430" spans="8:8" ht="36" customHeight="1" x14ac:dyDescent="0.25">
      <c r="H430" s="20"/>
    </row>
    <row r="431" spans="8:8" ht="36" customHeight="1" x14ac:dyDescent="0.25">
      <c r="H431" s="20"/>
    </row>
    <row r="432" spans="8:8" ht="36" customHeight="1" x14ac:dyDescent="0.25">
      <c r="H432" s="20"/>
    </row>
    <row r="433" spans="8:8" ht="36" customHeight="1" x14ac:dyDescent="0.25">
      <c r="H433" s="20"/>
    </row>
    <row r="434" spans="8:8" ht="36" customHeight="1" x14ac:dyDescent="0.25">
      <c r="H434" s="20"/>
    </row>
    <row r="435" spans="8:8" ht="36" customHeight="1" x14ac:dyDescent="0.25">
      <c r="H435" s="20"/>
    </row>
    <row r="436" spans="8:8" ht="36" customHeight="1" x14ac:dyDescent="0.25">
      <c r="H436" s="20"/>
    </row>
    <row r="437" spans="8:8" ht="36" customHeight="1" x14ac:dyDescent="0.25">
      <c r="H437" s="20"/>
    </row>
    <row r="438" spans="8:8" ht="36" customHeight="1" x14ac:dyDescent="0.25">
      <c r="H438" s="20"/>
    </row>
    <row r="439" spans="8:8" ht="36" customHeight="1" x14ac:dyDescent="0.25">
      <c r="H439" s="20"/>
    </row>
    <row r="440" spans="8:8" ht="36" customHeight="1" x14ac:dyDescent="0.25">
      <c r="H440" s="20"/>
    </row>
    <row r="441" spans="8:8" ht="36" customHeight="1" x14ac:dyDescent="0.25">
      <c r="H441" s="20"/>
    </row>
    <row r="442" spans="8:8" ht="36" customHeight="1" x14ac:dyDescent="0.25">
      <c r="H442" s="20"/>
    </row>
    <row r="443" spans="8:8" ht="36" customHeight="1" x14ac:dyDescent="0.25">
      <c r="H443" s="20"/>
    </row>
    <row r="444" spans="8:8" ht="36" customHeight="1" x14ac:dyDescent="0.25">
      <c r="H444" s="20"/>
    </row>
    <row r="445" spans="8:8" ht="36" customHeight="1" x14ac:dyDescent="0.25">
      <c r="H445" s="20"/>
    </row>
    <row r="446" spans="8:8" ht="36" customHeight="1" x14ac:dyDescent="0.25">
      <c r="H446" s="20"/>
    </row>
    <row r="447" spans="8:8" ht="36" customHeight="1" x14ac:dyDescent="0.25">
      <c r="H447" s="20"/>
    </row>
    <row r="448" spans="8:8" ht="36" customHeight="1" x14ac:dyDescent="0.25">
      <c r="H448" s="20"/>
    </row>
    <row r="449" spans="8:8" ht="36" customHeight="1" x14ac:dyDescent="0.25">
      <c r="H449" s="20"/>
    </row>
    <row r="450" spans="8:8" ht="36" customHeight="1" x14ac:dyDescent="0.25">
      <c r="H450" s="20"/>
    </row>
    <row r="451" spans="8:8" ht="36" customHeight="1" x14ac:dyDescent="0.25">
      <c r="H451" s="20"/>
    </row>
    <row r="452" spans="8:8" ht="36" customHeight="1" x14ac:dyDescent="0.25">
      <c r="H452" s="20"/>
    </row>
    <row r="453" spans="8:8" ht="36" customHeight="1" x14ac:dyDescent="0.25">
      <c r="H453" s="20"/>
    </row>
    <row r="454" spans="8:8" ht="36" customHeight="1" x14ac:dyDescent="0.25">
      <c r="H454" s="20"/>
    </row>
    <row r="455" spans="8:8" ht="36" customHeight="1" x14ac:dyDescent="0.25">
      <c r="H455" s="20"/>
    </row>
    <row r="456" spans="8:8" ht="36" customHeight="1" x14ac:dyDescent="0.25">
      <c r="H456" s="20"/>
    </row>
    <row r="457" spans="8:8" ht="36" customHeight="1" x14ac:dyDescent="0.25">
      <c r="H457" s="20"/>
    </row>
    <row r="458" spans="8:8" ht="36" customHeight="1" x14ac:dyDescent="0.25">
      <c r="H458" s="20"/>
    </row>
    <row r="459" spans="8:8" ht="36" customHeight="1" x14ac:dyDescent="0.25">
      <c r="H459" s="20"/>
    </row>
    <row r="460" spans="8:8" ht="36" customHeight="1" x14ac:dyDescent="0.25">
      <c r="H460" s="20"/>
    </row>
    <row r="461" spans="8:8" ht="36" customHeight="1" x14ac:dyDescent="0.25">
      <c r="H461" s="20"/>
    </row>
    <row r="462" spans="8:8" ht="36" customHeight="1" x14ac:dyDescent="0.25">
      <c r="H462" s="20"/>
    </row>
    <row r="463" spans="8:8" ht="36" customHeight="1" x14ac:dyDescent="0.25">
      <c r="H463" s="20"/>
    </row>
    <row r="464" spans="8:8" ht="36" customHeight="1" x14ac:dyDescent="0.25">
      <c r="H464" s="20"/>
    </row>
    <row r="465" spans="8:8" ht="36" customHeight="1" x14ac:dyDescent="0.25">
      <c r="H465" s="20"/>
    </row>
    <row r="466" spans="8:8" ht="36" customHeight="1" x14ac:dyDescent="0.25">
      <c r="H466" s="20"/>
    </row>
    <row r="467" spans="8:8" ht="36" customHeight="1" x14ac:dyDescent="0.25">
      <c r="H467" s="20"/>
    </row>
    <row r="468" spans="8:8" ht="36" customHeight="1" x14ac:dyDescent="0.25">
      <c r="H468" s="20"/>
    </row>
    <row r="469" spans="8:8" ht="36" customHeight="1" x14ac:dyDescent="0.25">
      <c r="H469" s="20"/>
    </row>
    <row r="470" spans="8:8" ht="36" customHeight="1" x14ac:dyDescent="0.25">
      <c r="H470" s="20"/>
    </row>
    <row r="471" spans="8:8" ht="36" customHeight="1" x14ac:dyDescent="0.25">
      <c r="H471" s="20"/>
    </row>
    <row r="472" spans="8:8" ht="36" customHeight="1" x14ac:dyDescent="0.25">
      <c r="H472" s="20"/>
    </row>
    <row r="473" spans="8:8" ht="36" customHeight="1" x14ac:dyDescent="0.25">
      <c r="H473" s="20"/>
    </row>
    <row r="474" spans="8:8" ht="36" customHeight="1" x14ac:dyDescent="0.25">
      <c r="H474" s="20"/>
    </row>
    <row r="475" spans="8:8" ht="36" customHeight="1" x14ac:dyDescent="0.25">
      <c r="H475" s="20"/>
    </row>
    <row r="476" spans="8:8" ht="36" customHeight="1" x14ac:dyDescent="0.25">
      <c r="H476" s="20"/>
    </row>
    <row r="477" spans="8:8" ht="36" customHeight="1" x14ac:dyDescent="0.25">
      <c r="H477" s="20"/>
    </row>
    <row r="478" spans="8:8" ht="36" customHeight="1" x14ac:dyDescent="0.25">
      <c r="H478" s="20"/>
    </row>
    <row r="479" spans="8:8" ht="36" customHeight="1" x14ac:dyDescent="0.25">
      <c r="H479" s="20"/>
    </row>
    <row r="480" spans="8:8" ht="36" customHeight="1" x14ac:dyDescent="0.25">
      <c r="H480" s="20"/>
    </row>
    <row r="481" spans="8:8" ht="36" customHeight="1" x14ac:dyDescent="0.25">
      <c r="H481" s="20"/>
    </row>
    <row r="482" spans="8:8" ht="36" customHeight="1" x14ac:dyDescent="0.25">
      <c r="H482" s="20"/>
    </row>
    <row r="483" spans="8:8" ht="36" customHeight="1" x14ac:dyDescent="0.25">
      <c r="H483" s="20"/>
    </row>
    <row r="484" spans="8:8" ht="36" customHeight="1" x14ac:dyDescent="0.25">
      <c r="H484" s="20"/>
    </row>
    <row r="485" spans="8:8" ht="36" customHeight="1" x14ac:dyDescent="0.25">
      <c r="H485" s="20"/>
    </row>
    <row r="486" spans="8:8" ht="36" customHeight="1" x14ac:dyDescent="0.25">
      <c r="H486" s="20"/>
    </row>
    <row r="487" spans="8:8" ht="36" customHeight="1" x14ac:dyDescent="0.25">
      <c r="H487" s="20"/>
    </row>
    <row r="488" spans="8:8" ht="36" customHeight="1" x14ac:dyDescent="0.25">
      <c r="H488" s="20"/>
    </row>
    <row r="489" spans="8:8" ht="36" customHeight="1" x14ac:dyDescent="0.25">
      <c r="H489" s="20"/>
    </row>
    <row r="490" spans="8:8" ht="36" customHeight="1" x14ac:dyDescent="0.25">
      <c r="H490" s="20"/>
    </row>
    <row r="491" spans="8:8" ht="36" customHeight="1" x14ac:dyDescent="0.25">
      <c r="H491" s="20"/>
    </row>
    <row r="492" spans="8:8" ht="36" customHeight="1" x14ac:dyDescent="0.25">
      <c r="H492" s="20"/>
    </row>
    <row r="493" spans="8:8" ht="36" customHeight="1" x14ac:dyDescent="0.25">
      <c r="H493" s="20"/>
    </row>
    <row r="494" spans="8:8" ht="36" customHeight="1" x14ac:dyDescent="0.25">
      <c r="H494" s="20"/>
    </row>
    <row r="495" spans="8:8" ht="36" customHeight="1" x14ac:dyDescent="0.25">
      <c r="H495" s="20"/>
    </row>
    <row r="496" spans="8:8" ht="36" customHeight="1" x14ac:dyDescent="0.25">
      <c r="H496" s="20"/>
    </row>
    <row r="497" spans="8:8" ht="36" customHeight="1" x14ac:dyDescent="0.25">
      <c r="H497" s="20"/>
    </row>
    <row r="498" spans="8:8" ht="36" customHeight="1" x14ac:dyDescent="0.25">
      <c r="H498" s="20"/>
    </row>
    <row r="499" spans="8:8" ht="36" customHeight="1" x14ac:dyDescent="0.25">
      <c r="H499" s="20"/>
    </row>
    <row r="500" spans="8:8" ht="36" customHeight="1" x14ac:dyDescent="0.25">
      <c r="H500" s="20"/>
    </row>
    <row r="501" spans="8:8" ht="36" customHeight="1" x14ac:dyDescent="0.25">
      <c r="H501" s="20"/>
    </row>
    <row r="502" spans="8:8" ht="36" customHeight="1" x14ac:dyDescent="0.25">
      <c r="H502" s="20"/>
    </row>
    <row r="503" spans="8:8" ht="36" customHeight="1" x14ac:dyDescent="0.25">
      <c r="H503" s="20"/>
    </row>
    <row r="504" spans="8:8" ht="36" customHeight="1" x14ac:dyDescent="0.25">
      <c r="H504" s="20"/>
    </row>
    <row r="505" spans="8:8" ht="36" customHeight="1" x14ac:dyDescent="0.25">
      <c r="H505" s="20"/>
    </row>
    <row r="506" spans="8:8" ht="36" customHeight="1" x14ac:dyDescent="0.25">
      <c r="H506" s="20"/>
    </row>
    <row r="507" spans="8:8" ht="36" customHeight="1" x14ac:dyDescent="0.25">
      <c r="H507" s="20"/>
    </row>
    <row r="508" spans="8:8" ht="36" customHeight="1" x14ac:dyDescent="0.25">
      <c r="H508" s="20"/>
    </row>
    <row r="509" spans="8:8" ht="36" customHeight="1" x14ac:dyDescent="0.25">
      <c r="H509" s="20"/>
    </row>
    <row r="510" spans="8:8" ht="36" customHeight="1" x14ac:dyDescent="0.25">
      <c r="H510" s="20"/>
    </row>
    <row r="511" spans="8:8" ht="36" customHeight="1" x14ac:dyDescent="0.25">
      <c r="H511" s="20"/>
    </row>
    <row r="512" spans="8:8" ht="36" customHeight="1" x14ac:dyDescent="0.25">
      <c r="H512" s="20"/>
    </row>
    <row r="513" spans="8:8" ht="36" customHeight="1" x14ac:dyDescent="0.25">
      <c r="H513" s="20"/>
    </row>
    <row r="514" spans="8:8" ht="36" customHeight="1" x14ac:dyDescent="0.25">
      <c r="H514" s="20"/>
    </row>
    <row r="515" spans="8:8" ht="36" customHeight="1" x14ac:dyDescent="0.25">
      <c r="H515" s="20"/>
    </row>
    <row r="516" spans="8:8" ht="36" customHeight="1" x14ac:dyDescent="0.25">
      <c r="H516" s="20"/>
    </row>
    <row r="517" spans="8:8" ht="36" customHeight="1" x14ac:dyDescent="0.25">
      <c r="H517" s="20"/>
    </row>
    <row r="518" spans="8:8" ht="36" customHeight="1" x14ac:dyDescent="0.25">
      <c r="H518" s="20"/>
    </row>
    <row r="519" spans="8:8" ht="36" customHeight="1" x14ac:dyDescent="0.25">
      <c r="H519" s="20"/>
    </row>
    <row r="520" spans="8:8" ht="36" customHeight="1" x14ac:dyDescent="0.25">
      <c r="H520" s="20"/>
    </row>
    <row r="521" spans="8:8" ht="36" customHeight="1" x14ac:dyDescent="0.25">
      <c r="H521" s="20"/>
    </row>
    <row r="522" spans="8:8" ht="36" customHeight="1" x14ac:dyDescent="0.25">
      <c r="H522" s="20"/>
    </row>
    <row r="523" spans="8:8" ht="36" customHeight="1" x14ac:dyDescent="0.25">
      <c r="H523" s="20"/>
    </row>
    <row r="524" spans="8:8" ht="36" customHeight="1" x14ac:dyDescent="0.25">
      <c r="H524" s="20"/>
    </row>
    <row r="525" spans="8:8" ht="36" customHeight="1" x14ac:dyDescent="0.25">
      <c r="H525" s="20"/>
    </row>
    <row r="526" spans="8:8" ht="36" customHeight="1" x14ac:dyDescent="0.25">
      <c r="H526" s="20"/>
    </row>
    <row r="527" spans="8:8" ht="36" customHeight="1" x14ac:dyDescent="0.25">
      <c r="H527" s="20"/>
    </row>
    <row r="528" spans="8:8" ht="36" customHeight="1" x14ac:dyDescent="0.25">
      <c r="H528" s="20"/>
    </row>
    <row r="529" spans="8:8" ht="36" customHeight="1" x14ac:dyDescent="0.25">
      <c r="H529" s="20"/>
    </row>
    <row r="530" spans="8:8" ht="36" customHeight="1" x14ac:dyDescent="0.25">
      <c r="H530" s="20"/>
    </row>
    <row r="531" spans="8:8" ht="36" customHeight="1" x14ac:dyDescent="0.25">
      <c r="H531" s="20"/>
    </row>
    <row r="532" spans="8:8" ht="36" customHeight="1" x14ac:dyDescent="0.25">
      <c r="H532" s="20"/>
    </row>
    <row r="533" spans="8:8" ht="36" customHeight="1" x14ac:dyDescent="0.25">
      <c r="H533" s="20"/>
    </row>
    <row r="534" spans="8:8" ht="36" customHeight="1" x14ac:dyDescent="0.25">
      <c r="H534" s="20"/>
    </row>
    <row r="535" spans="8:8" ht="36" customHeight="1" x14ac:dyDescent="0.25">
      <c r="H535" s="20"/>
    </row>
    <row r="536" spans="8:8" ht="36" customHeight="1" x14ac:dyDescent="0.25">
      <c r="H536" s="20"/>
    </row>
    <row r="537" spans="8:8" ht="36" customHeight="1" x14ac:dyDescent="0.25">
      <c r="H537" s="20"/>
    </row>
    <row r="538" spans="8:8" ht="36" customHeight="1" x14ac:dyDescent="0.25">
      <c r="H538" s="20"/>
    </row>
    <row r="539" spans="8:8" ht="36" customHeight="1" x14ac:dyDescent="0.25">
      <c r="H539" s="20"/>
    </row>
    <row r="540" spans="8:8" ht="36" customHeight="1" x14ac:dyDescent="0.25">
      <c r="H540" s="20"/>
    </row>
    <row r="541" spans="8:8" ht="36" customHeight="1" x14ac:dyDescent="0.25">
      <c r="H541" s="20"/>
    </row>
    <row r="542" spans="8:8" ht="36" customHeight="1" x14ac:dyDescent="0.25">
      <c r="H542" s="20"/>
    </row>
    <row r="543" spans="8:8" ht="36" customHeight="1" x14ac:dyDescent="0.25">
      <c r="H543" s="20"/>
    </row>
    <row r="544" spans="8:8" ht="36" customHeight="1" x14ac:dyDescent="0.25">
      <c r="H544" s="20"/>
    </row>
    <row r="545" spans="8:8" ht="36" customHeight="1" x14ac:dyDescent="0.25">
      <c r="H545" s="20"/>
    </row>
    <row r="546" spans="8:8" ht="36" customHeight="1" x14ac:dyDescent="0.25">
      <c r="H546" s="20"/>
    </row>
    <row r="547" spans="8:8" ht="36" customHeight="1" x14ac:dyDescent="0.25">
      <c r="H547" s="20"/>
    </row>
    <row r="548" spans="8:8" ht="36" customHeight="1" x14ac:dyDescent="0.25">
      <c r="H548" s="20"/>
    </row>
    <row r="549" spans="8:8" ht="36" customHeight="1" x14ac:dyDescent="0.25">
      <c r="H549" s="20"/>
    </row>
    <row r="550" spans="8:8" ht="36" customHeight="1" x14ac:dyDescent="0.25">
      <c r="H550" s="20"/>
    </row>
    <row r="551" spans="8:8" ht="36" customHeight="1" x14ac:dyDescent="0.25">
      <c r="H551" s="20"/>
    </row>
    <row r="552" spans="8:8" ht="36" customHeight="1" x14ac:dyDescent="0.25">
      <c r="H552" s="20"/>
    </row>
    <row r="553" spans="8:8" ht="36" customHeight="1" x14ac:dyDescent="0.25">
      <c r="H553" s="20"/>
    </row>
    <row r="554" spans="8:8" ht="36" customHeight="1" x14ac:dyDescent="0.25">
      <c r="H554" s="20"/>
    </row>
    <row r="555" spans="8:8" ht="36" customHeight="1" x14ac:dyDescent="0.25">
      <c r="H555" s="20"/>
    </row>
    <row r="556" spans="8:8" ht="36" customHeight="1" x14ac:dyDescent="0.25">
      <c r="H556" s="20"/>
    </row>
    <row r="557" spans="8:8" ht="36" customHeight="1" x14ac:dyDescent="0.25">
      <c r="H557" s="20"/>
    </row>
    <row r="558" spans="8:8" ht="36" customHeight="1" x14ac:dyDescent="0.25">
      <c r="H558" s="20"/>
    </row>
    <row r="559" spans="8:8" ht="36" customHeight="1" x14ac:dyDescent="0.25">
      <c r="H559" s="20"/>
    </row>
    <row r="560" spans="8:8" ht="36" customHeight="1" x14ac:dyDescent="0.25">
      <c r="H560" s="20"/>
    </row>
    <row r="561" spans="8:8" ht="36" customHeight="1" x14ac:dyDescent="0.25">
      <c r="H561" s="20"/>
    </row>
    <row r="562" spans="8:8" ht="36" customHeight="1" x14ac:dyDescent="0.25">
      <c r="H562" s="20"/>
    </row>
    <row r="563" spans="8:8" ht="36" customHeight="1" x14ac:dyDescent="0.25">
      <c r="H563" s="20"/>
    </row>
    <row r="564" spans="8:8" ht="36" customHeight="1" x14ac:dyDescent="0.25">
      <c r="H564" s="20"/>
    </row>
    <row r="565" spans="8:8" ht="36" customHeight="1" x14ac:dyDescent="0.25">
      <c r="H565" s="20"/>
    </row>
    <row r="566" spans="8:8" ht="36" customHeight="1" x14ac:dyDescent="0.25">
      <c r="H566" s="20"/>
    </row>
    <row r="567" spans="8:8" ht="36" customHeight="1" x14ac:dyDescent="0.25">
      <c r="H567" s="20"/>
    </row>
    <row r="568" spans="8:8" ht="36" customHeight="1" x14ac:dyDescent="0.25">
      <c r="H568" s="20"/>
    </row>
    <row r="569" spans="8:8" ht="36" customHeight="1" x14ac:dyDescent="0.25">
      <c r="H569" s="20"/>
    </row>
    <row r="570" spans="8:8" ht="36" customHeight="1" x14ac:dyDescent="0.25">
      <c r="H570" s="20"/>
    </row>
    <row r="571" spans="8:8" ht="36" customHeight="1" x14ac:dyDescent="0.25">
      <c r="H571" s="20"/>
    </row>
    <row r="572" spans="8:8" ht="36" customHeight="1" x14ac:dyDescent="0.25">
      <c r="H572" s="20"/>
    </row>
    <row r="573" spans="8:8" ht="36" customHeight="1" x14ac:dyDescent="0.25">
      <c r="H573" s="20"/>
    </row>
    <row r="574" spans="8:8" ht="36" customHeight="1" x14ac:dyDescent="0.25">
      <c r="H574" s="20"/>
    </row>
    <row r="575" spans="8:8" ht="36" customHeight="1" x14ac:dyDescent="0.25">
      <c r="H575" s="20"/>
    </row>
    <row r="576" spans="8:8" ht="36" customHeight="1" x14ac:dyDescent="0.25">
      <c r="H576" s="20"/>
    </row>
    <row r="577" spans="8:8" ht="36" customHeight="1" x14ac:dyDescent="0.25">
      <c r="H577" s="20"/>
    </row>
    <row r="578" spans="8:8" ht="36" customHeight="1" x14ac:dyDescent="0.25">
      <c r="H578" s="20"/>
    </row>
    <row r="579" spans="8:8" ht="36" customHeight="1" x14ac:dyDescent="0.25">
      <c r="H579" s="20"/>
    </row>
    <row r="580" spans="8:8" ht="36" customHeight="1" x14ac:dyDescent="0.25">
      <c r="H580" s="20"/>
    </row>
    <row r="581" spans="8:8" ht="36" customHeight="1" x14ac:dyDescent="0.25">
      <c r="H581" s="20"/>
    </row>
    <row r="582" spans="8:8" ht="36" customHeight="1" x14ac:dyDescent="0.25">
      <c r="H582" s="20"/>
    </row>
    <row r="583" spans="8:8" ht="36" customHeight="1" x14ac:dyDescent="0.25">
      <c r="H583" s="20"/>
    </row>
    <row r="584" spans="8:8" ht="36" customHeight="1" x14ac:dyDescent="0.25">
      <c r="H584" s="20"/>
    </row>
    <row r="585" spans="8:8" ht="36" customHeight="1" x14ac:dyDescent="0.25">
      <c r="H585" s="20"/>
    </row>
    <row r="586" spans="8:8" ht="36" customHeight="1" x14ac:dyDescent="0.25">
      <c r="H586" s="20"/>
    </row>
    <row r="587" spans="8:8" ht="36" customHeight="1" x14ac:dyDescent="0.25">
      <c r="H587" s="20"/>
    </row>
    <row r="588" spans="8:8" ht="36" customHeight="1" x14ac:dyDescent="0.25">
      <c r="H588" s="20"/>
    </row>
    <row r="589" spans="8:8" ht="36" customHeight="1" x14ac:dyDescent="0.25">
      <c r="H589" s="20"/>
    </row>
    <row r="590" spans="8:8" ht="36" customHeight="1" x14ac:dyDescent="0.25">
      <c r="H590" s="20"/>
    </row>
    <row r="591" spans="8:8" ht="36" customHeight="1" x14ac:dyDescent="0.25">
      <c r="H591" s="20"/>
    </row>
    <row r="592" spans="8:8" ht="36" customHeight="1" x14ac:dyDescent="0.25">
      <c r="H592" s="20"/>
    </row>
    <row r="593" spans="8:8" ht="36" customHeight="1" x14ac:dyDescent="0.25">
      <c r="H593" s="20"/>
    </row>
    <row r="594" spans="8:8" ht="36" customHeight="1" x14ac:dyDescent="0.25">
      <c r="H594" s="20"/>
    </row>
    <row r="595" spans="8:8" ht="36" customHeight="1" x14ac:dyDescent="0.25">
      <c r="H595" s="20"/>
    </row>
    <row r="596" spans="8:8" ht="36" customHeight="1" x14ac:dyDescent="0.25">
      <c r="H596" s="20"/>
    </row>
    <row r="597" spans="8:8" ht="36" customHeight="1" x14ac:dyDescent="0.25">
      <c r="H597" s="20"/>
    </row>
    <row r="598" spans="8:8" ht="36" customHeight="1" x14ac:dyDescent="0.25">
      <c r="H598" s="20"/>
    </row>
    <row r="599" spans="8:8" ht="36" customHeight="1" x14ac:dyDescent="0.25">
      <c r="H599" s="20"/>
    </row>
    <row r="600" spans="8:8" ht="36" customHeight="1" x14ac:dyDescent="0.25">
      <c r="H600" s="20"/>
    </row>
    <row r="601" spans="8:8" ht="36" customHeight="1" x14ac:dyDescent="0.25">
      <c r="H601" s="20"/>
    </row>
    <row r="602" spans="8:8" ht="36" customHeight="1" x14ac:dyDescent="0.25">
      <c r="H602" s="20"/>
    </row>
    <row r="603" spans="8:8" ht="36" customHeight="1" x14ac:dyDescent="0.25">
      <c r="H603" s="20"/>
    </row>
    <row r="604" spans="8:8" ht="36" customHeight="1" x14ac:dyDescent="0.25">
      <c r="H604" s="20"/>
    </row>
    <row r="605" spans="8:8" ht="36" customHeight="1" x14ac:dyDescent="0.25">
      <c r="H605" s="20"/>
    </row>
    <row r="606" spans="8:8" ht="36" customHeight="1" x14ac:dyDescent="0.25">
      <c r="H606" s="20"/>
    </row>
    <row r="607" spans="8:8" ht="36" customHeight="1" x14ac:dyDescent="0.25">
      <c r="H607" s="20"/>
    </row>
    <row r="608" spans="8:8" ht="36" customHeight="1" x14ac:dyDescent="0.25">
      <c r="H608" s="20"/>
    </row>
    <row r="609" spans="8:8" ht="36" customHeight="1" x14ac:dyDescent="0.25">
      <c r="H609" s="20"/>
    </row>
    <row r="610" spans="8:8" ht="36" customHeight="1" x14ac:dyDescent="0.25">
      <c r="H610" s="20"/>
    </row>
    <row r="611" spans="8:8" ht="36" customHeight="1" x14ac:dyDescent="0.25">
      <c r="H611" s="20"/>
    </row>
    <row r="612" spans="8:8" ht="36" customHeight="1" x14ac:dyDescent="0.25">
      <c r="H612" s="20"/>
    </row>
    <row r="613" spans="8:8" ht="36" customHeight="1" x14ac:dyDescent="0.25">
      <c r="H613" s="20"/>
    </row>
    <row r="614" spans="8:8" ht="36" customHeight="1" x14ac:dyDescent="0.25">
      <c r="H614" s="20"/>
    </row>
    <row r="615" spans="8:8" ht="36" customHeight="1" x14ac:dyDescent="0.25">
      <c r="H615" s="20"/>
    </row>
    <row r="616" spans="8:8" ht="36" customHeight="1" x14ac:dyDescent="0.25">
      <c r="H616" s="20"/>
    </row>
    <row r="617" spans="8:8" ht="36" customHeight="1" x14ac:dyDescent="0.25">
      <c r="H617" s="20"/>
    </row>
    <row r="618" spans="8:8" ht="36" customHeight="1" x14ac:dyDescent="0.25">
      <c r="H618" s="20"/>
    </row>
    <row r="619" spans="8:8" ht="36" customHeight="1" x14ac:dyDescent="0.25">
      <c r="H619" s="20"/>
    </row>
    <row r="620" spans="8:8" ht="36" customHeight="1" x14ac:dyDescent="0.25">
      <c r="H620" s="20"/>
    </row>
    <row r="621" spans="8:8" ht="36" customHeight="1" x14ac:dyDescent="0.25">
      <c r="H621" s="20"/>
    </row>
    <row r="622" spans="8:8" ht="36" customHeight="1" x14ac:dyDescent="0.25">
      <c r="H622" s="20"/>
    </row>
    <row r="623" spans="8:8" ht="36" customHeight="1" x14ac:dyDescent="0.25">
      <c r="H623" s="20"/>
    </row>
    <row r="624" spans="8:8" ht="36" customHeight="1" x14ac:dyDescent="0.25">
      <c r="H624" s="20"/>
    </row>
    <row r="625" spans="8:8" ht="36" customHeight="1" x14ac:dyDescent="0.25">
      <c r="H625" s="20"/>
    </row>
    <row r="626" spans="8:8" ht="36" customHeight="1" x14ac:dyDescent="0.25">
      <c r="H626" s="20"/>
    </row>
    <row r="627" spans="8:8" ht="36" customHeight="1" x14ac:dyDescent="0.25">
      <c r="H627" s="20"/>
    </row>
    <row r="628" spans="8:8" ht="36" customHeight="1" x14ac:dyDescent="0.25">
      <c r="H628" s="20"/>
    </row>
    <row r="629" spans="8:8" ht="36" customHeight="1" x14ac:dyDescent="0.25">
      <c r="H629" s="20"/>
    </row>
    <row r="630" spans="8:8" ht="36" customHeight="1" x14ac:dyDescent="0.25">
      <c r="H630" s="20"/>
    </row>
    <row r="631" spans="8:8" ht="36" customHeight="1" x14ac:dyDescent="0.25">
      <c r="H631" s="20"/>
    </row>
    <row r="632" spans="8:8" ht="36" customHeight="1" x14ac:dyDescent="0.25">
      <c r="H632" s="20"/>
    </row>
    <row r="633" spans="8:8" ht="36" customHeight="1" x14ac:dyDescent="0.25">
      <c r="H633" s="20"/>
    </row>
    <row r="634" spans="8:8" ht="36" customHeight="1" x14ac:dyDescent="0.25">
      <c r="H634" s="20"/>
    </row>
    <row r="635" spans="8:8" ht="36" customHeight="1" x14ac:dyDescent="0.25">
      <c r="H635" s="20"/>
    </row>
    <row r="636" spans="8:8" ht="36" customHeight="1" x14ac:dyDescent="0.25">
      <c r="H636" s="20"/>
    </row>
    <row r="637" spans="8:8" ht="36" customHeight="1" x14ac:dyDescent="0.25">
      <c r="H637" s="20"/>
    </row>
    <row r="638" spans="8:8" ht="36" customHeight="1" x14ac:dyDescent="0.25">
      <c r="H638" s="20"/>
    </row>
    <row r="639" spans="8:8" ht="36" customHeight="1" x14ac:dyDescent="0.25">
      <c r="H639" s="20"/>
    </row>
    <row r="640" spans="8:8" ht="36" customHeight="1" x14ac:dyDescent="0.25">
      <c r="H640" s="20"/>
    </row>
    <row r="641" spans="8:8" ht="36" customHeight="1" x14ac:dyDescent="0.25">
      <c r="H641" s="20"/>
    </row>
    <row r="642" spans="8:8" ht="36" customHeight="1" x14ac:dyDescent="0.25">
      <c r="H642" s="20"/>
    </row>
    <row r="643" spans="8:8" ht="36" customHeight="1" x14ac:dyDescent="0.25">
      <c r="H643" s="20"/>
    </row>
    <row r="644" spans="8:8" ht="36" customHeight="1" x14ac:dyDescent="0.25">
      <c r="H644" s="20"/>
    </row>
    <row r="645" spans="8:8" ht="36" customHeight="1" x14ac:dyDescent="0.25">
      <c r="H645" s="20"/>
    </row>
    <row r="646" spans="8:8" ht="36" customHeight="1" x14ac:dyDescent="0.25">
      <c r="H646" s="20"/>
    </row>
    <row r="647" spans="8:8" ht="36" customHeight="1" x14ac:dyDescent="0.25">
      <c r="H647" s="20"/>
    </row>
    <row r="648" spans="8:8" ht="36" customHeight="1" x14ac:dyDescent="0.25">
      <c r="H648" s="20"/>
    </row>
    <row r="649" spans="8:8" ht="36" customHeight="1" x14ac:dyDescent="0.25">
      <c r="H649" s="20"/>
    </row>
    <row r="650" spans="8:8" ht="36" customHeight="1" x14ac:dyDescent="0.25">
      <c r="H650" s="20"/>
    </row>
    <row r="651" spans="8:8" ht="36" customHeight="1" x14ac:dyDescent="0.25">
      <c r="H651" s="20"/>
    </row>
    <row r="652" spans="8:8" ht="36" customHeight="1" x14ac:dyDescent="0.25">
      <c r="H652" s="20"/>
    </row>
    <row r="653" spans="8:8" ht="36" customHeight="1" x14ac:dyDescent="0.25">
      <c r="H653" s="20"/>
    </row>
    <row r="654" spans="8:8" ht="36" customHeight="1" x14ac:dyDescent="0.25">
      <c r="H654" s="20"/>
    </row>
    <row r="655" spans="8:8" ht="36" customHeight="1" x14ac:dyDescent="0.25">
      <c r="H655" s="20"/>
    </row>
    <row r="656" spans="8:8" ht="36" customHeight="1" x14ac:dyDescent="0.25">
      <c r="H656" s="20"/>
    </row>
    <row r="657" spans="8:8" ht="36" customHeight="1" x14ac:dyDescent="0.25">
      <c r="H657" s="20"/>
    </row>
    <row r="658" spans="8:8" ht="36" customHeight="1" x14ac:dyDescent="0.25">
      <c r="H658" s="20"/>
    </row>
    <row r="659" spans="8:8" ht="36" customHeight="1" x14ac:dyDescent="0.25">
      <c r="H659" s="20"/>
    </row>
    <row r="660" spans="8:8" ht="36" customHeight="1" x14ac:dyDescent="0.25">
      <c r="H660" s="20"/>
    </row>
    <row r="661" spans="8:8" ht="36" customHeight="1" x14ac:dyDescent="0.25">
      <c r="H661" s="20"/>
    </row>
    <row r="662" spans="8:8" ht="36" customHeight="1" x14ac:dyDescent="0.25">
      <c r="H662" s="20"/>
    </row>
    <row r="663" spans="8:8" ht="36" customHeight="1" x14ac:dyDescent="0.25">
      <c r="H663" s="20"/>
    </row>
    <row r="664" spans="8:8" ht="36" customHeight="1" x14ac:dyDescent="0.25">
      <c r="H664" s="20"/>
    </row>
    <row r="665" spans="8:8" ht="36" customHeight="1" x14ac:dyDescent="0.25">
      <c r="H665" s="20"/>
    </row>
    <row r="666" spans="8:8" ht="36" customHeight="1" x14ac:dyDescent="0.25">
      <c r="H666" s="20"/>
    </row>
    <row r="667" spans="8:8" ht="36" customHeight="1" x14ac:dyDescent="0.25">
      <c r="H667" s="20"/>
    </row>
    <row r="668" spans="8:8" ht="36" customHeight="1" x14ac:dyDescent="0.25">
      <c r="H668" s="20"/>
    </row>
    <row r="669" spans="8:8" ht="36" customHeight="1" x14ac:dyDescent="0.25">
      <c r="H669" s="20"/>
    </row>
    <row r="670" spans="8:8" ht="36" customHeight="1" x14ac:dyDescent="0.25">
      <c r="H670" s="20"/>
    </row>
    <row r="671" spans="8:8" ht="36" customHeight="1" x14ac:dyDescent="0.25">
      <c r="H671" s="20"/>
    </row>
    <row r="672" spans="8:8" ht="36" customHeight="1" x14ac:dyDescent="0.25">
      <c r="H672" s="20"/>
    </row>
    <row r="673" spans="8:8" ht="36" customHeight="1" x14ac:dyDescent="0.25">
      <c r="H673" s="20"/>
    </row>
    <row r="674" spans="8:8" ht="36" customHeight="1" x14ac:dyDescent="0.25">
      <c r="H674" s="20"/>
    </row>
    <row r="675" spans="8:8" ht="36" customHeight="1" x14ac:dyDescent="0.25">
      <c r="H675" s="20"/>
    </row>
    <row r="676" spans="8:8" ht="36" customHeight="1" x14ac:dyDescent="0.25">
      <c r="H676" s="20"/>
    </row>
    <row r="677" spans="8:8" ht="36" customHeight="1" x14ac:dyDescent="0.25">
      <c r="H677" s="20"/>
    </row>
    <row r="678" spans="8:8" ht="36" customHeight="1" x14ac:dyDescent="0.25">
      <c r="H678" s="20"/>
    </row>
    <row r="679" spans="8:8" ht="36" customHeight="1" x14ac:dyDescent="0.25">
      <c r="H679" s="20"/>
    </row>
    <row r="680" spans="8:8" ht="36" customHeight="1" x14ac:dyDescent="0.25">
      <c r="H680" s="20"/>
    </row>
    <row r="681" spans="8:8" ht="36" customHeight="1" x14ac:dyDescent="0.25">
      <c r="H681" s="20"/>
    </row>
    <row r="682" spans="8:8" ht="36" customHeight="1" x14ac:dyDescent="0.25">
      <c r="H682" s="20"/>
    </row>
    <row r="683" spans="8:8" ht="36" customHeight="1" x14ac:dyDescent="0.25">
      <c r="H683" s="20"/>
    </row>
    <row r="684" spans="8:8" ht="36" customHeight="1" x14ac:dyDescent="0.25">
      <c r="H684" s="20"/>
    </row>
    <row r="685" spans="8:8" ht="36" customHeight="1" x14ac:dyDescent="0.25">
      <c r="H685" s="20"/>
    </row>
    <row r="686" spans="8:8" ht="36" customHeight="1" x14ac:dyDescent="0.25">
      <c r="H686" s="20"/>
    </row>
    <row r="687" spans="8:8" ht="36" customHeight="1" x14ac:dyDescent="0.25">
      <c r="H687" s="20"/>
    </row>
    <row r="688" spans="8:8" ht="36" customHeight="1" x14ac:dyDescent="0.25">
      <c r="H688" s="20"/>
    </row>
    <row r="689" spans="8:8" ht="36" customHeight="1" x14ac:dyDescent="0.25">
      <c r="H689" s="20"/>
    </row>
    <row r="690" spans="8:8" ht="36" customHeight="1" x14ac:dyDescent="0.25">
      <c r="H690" s="20"/>
    </row>
    <row r="691" spans="8:8" ht="36" customHeight="1" x14ac:dyDescent="0.25">
      <c r="H691" s="20"/>
    </row>
    <row r="692" spans="8:8" ht="36" customHeight="1" x14ac:dyDescent="0.25">
      <c r="H692" s="20"/>
    </row>
    <row r="693" spans="8:8" ht="36" customHeight="1" x14ac:dyDescent="0.25">
      <c r="H693" s="20"/>
    </row>
    <row r="694" spans="8:8" ht="36" customHeight="1" x14ac:dyDescent="0.25">
      <c r="H694" s="20"/>
    </row>
    <row r="695" spans="8:8" ht="36" customHeight="1" x14ac:dyDescent="0.25">
      <c r="H695" s="20"/>
    </row>
    <row r="696" spans="8:8" ht="36" customHeight="1" x14ac:dyDescent="0.25">
      <c r="H696" s="20"/>
    </row>
    <row r="697" spans="8:8" ht="36" customHeight="1" x14ac:dyDescent="0.25">
      <c r="H697" s="20"/>
    </row>
    <row r="698" spans="8:8" ht="36" customHeight="1" x14ac:dyDescent="0.25">
      <c r="H698" s="20"/>
    </row>
    <row r="699" spans="8:8" ht="36" customHeight="1" x14ac:dyDescent="0.25">
      <c r="H699" s="20"/>
    </row>
    <row r="700" spans="8:8" ht="36" customHeight="1" x14ac:dyDescent="0.25">
      <c r="H700" s="20"/>
    </row>
    <row r="701" spans="8:8" ht="36" customHeight="1" x14ac:dyDescent="0.25">
      <c r="H701" s="20"/>
    </row>
    <row r="702" spans="8:8" ht="36" customHeight="1" x14ac:dyDescent="0.25">
      <c r="H702" s="20"/>
    </row>
    <row r="703" spans="8:8" ht="36" customHeight="1" x14ac:dyDescent="0.25">
      <c r="H703" s="20"/>
    </row>
    <row r="704" spans="8:8" ht="36" customHeight="1" x14ac:dyDescent="0.25">
      <c r="H704" s="20"/>
    </row>
    <row r="705" spans="8:8" ht="36" customHeight="1" x14ac:dyDescent="0.25">
      <c r="H705" s="20"/>
    </row>
    <row r="706" spans="8:8" ht="36" customHeight="1" x14ac:dyDescent="0.25">
      <c r="H706" s="20"/>
    </row>
    <row r="707" spans="8:8" ht="36" customHeight="1" x14ac:dyDescent="0.25">
      <c r="H707" s="20"/>
    </row>
    <row r="708" spans="8:8" ht="36" customHeight="1" x14ac:dyDescent="0.25">
      <c r="H708" s="20"/>
    </row>
    <row r="709" spans="8:8" ht="36" customHeight="1" x14ac:dyDescent="0.25">
      <c r="H709" s="20"/>
    </row>
    <row r="710" spans="8:8" ht="36" customHeight="1" x14ac:dyDescent="0.25">
      <c r="H710" s="20"/>
    </row>
    <row r="711" spans="8:8" ht="36" customHeight="1" x14ac:dyDescent="0.25">
      <c r="H711" s="20"/>
    </row>
    <row r="712" spans="8:8" ht="36" customHeight="1" x14ac:dyDescent="0.25">
      <c r="H712" s="20"/>
    </row>
    <row r="713" spans="8:8" ht="36" customHeight="1" x14ac:dyDescent="0.25">
      <c r="H713" s="20"/>
    </row>
    <row r="714" spans="8:8" ht="36" customHeight="1" x14ac:dyDescent="0.25">
      <c r="H714" s="20"/>
    </row>
    <row r="715" spans="8:8" ht="36" customHeight="1" x14ac:dyDescent="0.25">
      <c r="H715" s="20"/>
    </row>
    <row r="716" spans="8:8" ht="36" customHeight="1" x14ac:dyDescent="0.25">
      <c r="H716" s="20"/>
    </row>
    <row r="717" spans="8:8" ht="36" customHeight="1" x14ac:dyDescent="0.25">
      <c r="H717" s="20"/>
    </row>
    <row r="718" spans="8:8" ht="36" customHeight="1" x14ac:dyDescent="0.25">
      <c r="H718" s="20"/>
    </row>
    <row r="719" spans="8:8" ht="36" customHeight="1" x14ac:dyDescent="0.25">
      <c r="H719" s="20"/>
    </row>
    <row r="720" spans="8:8" ht="36" customHeight="1" x14ac:dyDescent="0.25">
      <c r="H720" s="20"/>
    </row>
    <row r="721" spans="8:8" ht="36" customHeight="1" x14ac:dyDescent="0.25">
      <c r="H721" s="20"/>
    </row>
    <row r="722" spans="8:8" ht="36" customHeight="1" x14ac:dyDescent="0.25">
      <c r="H722" s="20"/>
    </row>
    <row r="723" spans="8:8" ht="36" customHeight="1" x14ac:dyDescent="0.25">
      <c r="H723" s="20"/>
    </row>
    <row r="724" spans="8:8" ht="36" customHeight="1" x14ac:dyDescent="0.25">
      <c r="H724" s="20"/>
    </row>
    <row r="725" spans="8:8" ht="36" customHeight="1" x14ac:dyDescent="0.25">
      <c r="H725" s="20"/>
    </row>
    <row r="726" spans="8:8" ht="36" customHeight="1" x14ac:dyDescent="0.25">
      <c r="H726" s="20"/>
    </row>
    <row r="727" spans="8:8" ht="36" customHeight="1" x14ac:dyDescent="0.25">
      <c r="H727" s="20"/>
    </row>
    <row r="728" spans="8:8" ht="36" customHeight="1" x14ac:dyDescent="0.25">
      <c r="H728" s="20"/>
    </row>
    <row r="729" spans="8:8" ht="36" customHeight="1" x14ac:dyDescent="0.25">
      <c r="H729" s="20"/>
    </row>
    <row r="730" spans="8:8" ht="36" customHeight="1" x14ac:dyDescent="0.25">
      <c r="H730" s="20"/>
    </row>
    <row r="731" spans="8:8" ht="36" customHeight="1" x14ac:dyDescent="0.25">
      <c r="H731" s="20"/>
    </row>
    <row r="732" spans="8:8" ht="36" customHeight="1" x14ac:dyDescent="0.25">
      <c r="H732" s="20"/>
    </row>
    <row r="733" spans="8:8" ht="36" customHeight="1" x14ac:dyDescent="0.25">
      <c r="H733" s="20"/>
    </row>
    <row r="734" spans="8:8" ht="36" customHeight="1" x14ac:dyDescent="0.25">
      <c r="H734" s="20"/>
    </row>
    <row r="735" spans="8:8" ht="36" customHeight="1" x14ac:dyDescent="0.25">
      <c r="H735" s="20"/>
    </row>
    <row r="736" spans="8:8" ht="36" customHeight="1" x14ac:dyDescent="0.25">
      <c r="H736" s="20"/>
    </row>
    <row r="737" spans="8:8" ht="36" customHeight="1" x14ac:dyDescent="0.25">
      <c r="H737" s="20"/>
    </row>
    <row r="738" spans="8:8" ht="36" customHeight="1" x14ac:dyDescent="0.25">
      <c r="H738" s="20"/>
    </row>
    <row r="739" spans="8:8" ht="36" customHeight="1" x14ac:dyDescent="0.25">
      <c r="H739" s="20"/>
    </row>
    <row r="740" spans="8:8" ht="36" customHeight="1" x14ac:dyDescent="0.25">
      <c r="H740" s="20"/>
    </row>
    <row r="741" spans="8:8" ht="36" customHeight="1" x14ac:dyDescent="0.25">
      <c r="H741" s="20"/>
    </row>
    <row r="742" spans="8:8" ht="36" customHeight="1" x14ac:dyDescent="0.25">
      <c r="H742" s="20"/>
    </row>
    <row r="743" spans="8:8" ht="36" customHeight="1" x14ac:dyDescent="0.25">
      <c r="H743" s="20"/>
    </row>
    <row r="744" spans="8:8" ht="36" customHeight="1" x14ac:dyDescent="0.25">
      <c r="H744" s="20"/>
    </row>
    <row r="745" spans="8:8" ht="36" customHeight="1" x14ac:dyDescent="0.25">
      <c r="H745" s="20"/>
    </row>
    <row r="746" spans="8:8" ht="36" customHeight="1" x14ac:dyDescent="0.25">
      <c r="H746" s="20"/>
    </row>
    <row r="747" spans="8:8" ht="36" customHeight="1" x14ac:dyDescent="0.25">
      <c r="H747" s="20"/>
    </row>
    <row r="748" spans="8:8" ht="36" customHeight="1" x14ac:dyDescent="0.25">
      <c r="H748" s="20"/>
    </row>
    <row r="749" spans="8:8" ht="36" customHeight="1" x14ac:dyDescent="0.25">
      <c r="H749" s="20"/>
    </row>
    <row r="750" spans="8:8" ht="36" customHeight="1" x14ac:dyDescent="0.25">
      <c r="H750" s="20"/>
    </row>
    <row r="751" spans="8:8" ht="36" customHeight="1" x14ac:dyDescent="0.25">
      <c r="H751" s="20"/>
    </row>
    <row r="752" spans="8:8" ht="36" customHeight="1" x14ac:dyDescent="0.25">
      <c r="H752" s="20"/>
    </row>
    <row r="753" spans="8:8" ht="36" customHeight="1" x14ac:dyDescent="0.25">
      <c r="H753" s="20"/>
    </row>
    <row r="754" spans="8:8" ht="36" customHeight="1" x14ac:dyDescent="0.25">
      <c r="H754" s="20"/>
    </row>
    <row r="755" spans="8:8" ht="36" customHeight="1" x14ac:dyDescent="0.25">
      <c r="H755" s="20"/>
    </row>
    <row r="756" spans="8:8" ht="36" customHeight="1" x14ac:dyDescent="0.25">
      <c r="H756" s="20"/>
    </row>
    <row r="757" spans="8:8" ht="36" customHeight="1" x14ac:dyDescent="0.25">
      <c r="H757" s="20"/>
    </row>
    <row r="758" spans="8:8" ht="36" customHeight="1" x14ac:dyDescent="0.25">
      <c r="H758" s="20"/>
    </row>
    <row r="759" spans="8:8" ht="36" customHeight="1" x14ac:dyDescent="0.25">
      <c r="H759" s="20"/>
    </row>
    <row r="760" spans="8:8" ht="36" customHeight="1" x14ac:dyDescent="0.25">
      <c r="H760" s="20"/>
    </row>
    <row r="761" spans="8:8" ht="36" customHeight="1" x14ac:dyDescent="0.25">
      <c r="H761" s="20"/>
    </row>
    <row r="762" spans="8:8" ht="36" customHeight="1" x14ac:dyDescent="0.25">
      <c r="H762" s="20"/>
    </row>
    <row r="763" spans="8:8" ht="36" customHeight="1" x14ac:dyDescent="0.25">
      <c r="H763" s="20"/>
    </row>
    <row r="764" spans="8:8" ht="36" customHeight="1" x14ac:dyDescent="0.25">
      <c r="H764" s="20"/>
    </row>
    <row r="765" spans="8:8" ht="36" customHeight="1" x14ac:dyDescent="0.25">
      <c r="H765" s="20"/>
    </row>
    <row r="766" spans="8:8" ht="36" customHeight="1" x14ac:dyDescent="0.25">
      <c r="H766" s="20"/>
    </row>
    <row r="767" spans="8:8" ht="36" customHeight="1" x14ac:dyDescent="0.25">
      <c r="H767" s="20"/>
    </row>
    <row r="768" spans="8:8" ht="36" customHeight="1" x14ac:dyDescent="0.25">
      <c r="H768" s="20"/>
    </row>
    <row r="769" spans="8:8" ht="36" customHeight="1" x14ac:dyDescent="0.25">
      <c r="H769" s="20"/>
    </row>
    <row r="770" spans="8:8" ht="36" customHeight="1" x14ac:dyDescent="0.25">
      <c r="H770" s="20"/>
    </row>
    <row r="771" spans="8:8" ht="36" customHeight="1" x14ac:dyDescent="0.25">
      <c r="H771" s="20"/>
    </row>
    <row r="772" spans="8:8" ht="36" customHeight="1" x14ac:dyDescent="0.25">
      <c r="H772" s="20"/>
    </row>
    <row r="773" spans="8:8" ht="36" customHeight="1" x14ac:dyDescent="0.25">
      <c r="H773" s="20"/>
    </row>
    <row r="774" spans="8:8" ht="36" customHeight="1" x14ac:dyDescent="0.25">
      <c r="H774" s="20"/>
    </row>
    <row r="775" spans="8:8" ht="36" customHeight="1" x14ac:dyDescent="0.25">
      <c r="H775" s="20"/>
    </row>
    <row r="776" spans="8:8" ht="36" customHeight="1" x14ac:dyDescent="0.25">
      <c r="H776" s="20"/>
    </row>
    <row r="777" spans="8:8" ht="36" customHeight="1" x14ac:dyDescent="0.25">
      <c r="H777" s="20"/>
    </row>
    <row r="778" spans="8:8" ht="36" customHeight="1" x14ac:dyDescent="0.25">
      <c r="H778" s="20"/>
    </row>
    <row r="779" spans="8:8" ht="36" customHeight="1" x14ac:dyDescent="0.25">
      <c r="H779" s="20"/>
    </row>
    <row r="780" spans="8:8" ht="36" customHeight="1" x14ac:dyDescent="0.25">
      <c r="H780" s="20"/>
    </row>
    <row r="781" spans="8:8" ht="36" customHeight="1" x14ac:dyDescent="0.25">
      <c r="H781" s="20"/>
    </row>
    <row r="782" spans="8:8" ht="36" customHeight="1" x14ac:dyDescent="0.25">
      <c r="H782" s="20"/>
    </row>
    <row r="783" spans="8:8" ht="36" customHeight="1" x14ac:dyDescent="0.25">
      <c r="H783" s="20"/>
    </row>
    <row r="784" spans="8:8" ht="36" customHeight="1" x14ac:dyDescent="0.25">
      <c r="H784" s="20"/>
    </row>
    <row r="785" spans="8:8" ht="36" customHeight="1" x14ac:dyDescent="0.25">
      <c r="H785" s="20"/>
    </row>
    <row r="786" spans="8:8" ht="36" customHeight="1" x14ac:dyDescent="0.25">
      <c r="H786" s="20"/>
    </row>
    <row r="787" spans="8:8" ht="36" customHeight="1" x14ac:dyDescent="0.25">
      <c r="H787" s="20"/>
    </row>
    <row r="788" spans="8:8" ht="36" customHeight="1" x14ac:dyDescent="0.25">
      <c r="H788" s="20"/>
    </row>
    <row r="789" spans="8:8" ht="36" customHeight="1" x14ac:dyDescent="0.25">
      <c r="H789" s="20"/>
    </row>
    <row r="790" spans="8:8" ht="36" customHeight="1" x14ac:dyDescent="0.25">
      <c r="H790" s="20"/>
    </row>
    <row r="791" spans="8:8" ht="36" customHeight="1" x14ac:dyDescent="0.25">
      <c r="H791" s="20"/>
    </row>
    <row r="792" spans="8:8" ht="36" customHeight="1" x14ac:dyDescent="0.25">
      <c r="H792" s="20"/>
    </row>
    <row r="793" spans="8:8" ht="36" customHeight="1" x14ac:dyDescent="0.25">
      <c r="H793" s="20"/>
    </row>
    <row r="794" spans="8:8" ht="36" customHeight="1" x14ac:dyDescent="0.25">
      <c r="H794" s="20"/>
    </row>
    <row r="795" spans="8:8" ht="36" customHeight="1" x14ac:dyDescent="0.25">
      <c r="H795" s="20"/>
    </row>
    <row r="796" spans="8:8" ht="36" customHeight="1" x14ac:dyDescent="0.25">
      <c r="H796" s="20"/>
    </row>
    <row r="797" spans="8:8" ht="36" customHeight="1" x14ac:dyDescent="0.25">
      <c r="H797" s="20"/>
    </row>
    <row r="798" spans="8:8" ht="36" customHeight="1" x14ac:dyDescent="0.25">
      <c r="H798" s="20"/>
    </row>
    <row r="799" spans="8:8" ht="36" customHeight="1" x14ac:dyDescent="0.25">
      <c r="H799" s="20"/>
    </row>
    <row r="800" spans="8:8" ht="36" customHeight="1" x14ac:dyDescent="0.25">
      <c r="H800" s="20"/>
    </row>
    <row r="801" spans="8:8" ht="36" customHeight="1" x14ac:dyDescent="0.25">
      <c r="H801" s="20"/>
    </row>
    <row r="802" spans="8:8" ht="36" customHeight="1" x14ac:dyDescent="0.25">
      <c r="H802" s="20"/>
    </row>
    <row r="803" spans="8:8" ht="36" customHeight="1" x14ac:dyDescent="0.25">
      <c r="H803" s="20"/>
    </row>
    <row r="804" spans="8:8" ht="36" customHeight="1" x14ac:dyDescent="0.25">
      <c r="H804" s="20"/>
    </row>
    <row r="805" spans="8:8" ht="36" customHeight="1" x14ac:dyDescent="0.25">
      <c r="H805" s="20"/>
    </row>
    <row r="806" spans="8:8" ht="36" customHeight="1" x14ac:dyDescent="0.25">
      <c r="H806" s="20"/>
    </row>
    <row r="807" spans="8:8" ht="36" customHeight="1" x14ac:dyDescent="0.25">
      <c r="H807" s="20"/>
    </row>
    <row r="808" spans="8:8" ht="36" customHeight="1" x14ac:dyDescent="0.25">
      <c r="H808" s="20"/>
    </row>
    <row r="809" spans="8:8" ht="36" customHeight="1" x14ac:dyDescent="0.25">
      <c r="H809" s="20"/>
    </row>
    <row r="810" spans="8:8" ht="36" customHeight="1" x14ac:dyDescent="0.25">
      <c r="H810" s="20"/>
    </row>
    <row r="811" spans="8:8" ht="36" customHeight="1" x14ac:dyDescent="0.25">
      <c r="H811" s="20"/>
    </row>
    <row r="812" spans="8:8" ht="36" customHeight="1" x14ac:dyDescent="0.25">
      <c r="H812" s="20"/>
    </row>
    <row r="813" spans="8:8" ht="36" customHeight="1" x14ac:dyDescent="0.25">
      <c r="H813" s="20"/>
    </row>
    <row r="814" spans="8:8" ht="36" customHeight="1" x14ac:dyDescent="0.25">
      <c r="H814" s="20"/>
    </row>
    <row r="815" spans="8:8" ht="36" customHeight="1" x14ac:dyDescent="0.25">
      <c r="H815" s="20"/>
    </row>
    <row r="816" spans="8:8" ht="36" customHeight="1" x14ac:dyDescent="0.25">
      <c r="H816" s="20"/>
    </row>
    <row r="817" spans="8:8" ht="36" customHeight="1" x14ac:dyDescent="0.25">
      <c r="H817" s="20"/>
    </row>
    <row r="818" spans="8:8" ht="36" customHeight="1" x14ac:dyDescent="0.25">
      <c r="H818" s="20"/>
    </row>
    <row r="819" spans="8:8" ht="36" customHeight="1" x14ac:dyDescent="0.25">
      <c r="H819" s="20"/>
    </row>
    <row r="820" spans="8:8" ht="36" customHeight="1" x14ac:dyDescent="0.25">
      <c r="H820" s="20"/>
    </row>
    <row r="821" spans="8:8" ht="36" customHeight="1" x14ac:dyDescent="0.25">
      <c r="H821" s="20"/>
    </row>
    <row r="822" spans="8:8" ht="36" customHeight="1" x14ac:dyDescent="0.25">
      <c r="H822" s="20"/>
    </row>
    <row r="823" spans="8:8" ht="36" customHeight="1" x14ac:dyDescent="0.25">
      <c r="H823" s="20"/>
    </row>
    <row r="824" spans="8:8" ht="36" customHeight="1" x14ac:dyDescent="0.25">
      <c r="H824" s="20"/>
    </row>
    <row r="825" spans="8:8" ht="36" customHeight="1" x14ac:dyDescent="0.25">
      <c r="H825" s="20"/>
    </row>
    <row r="826" spans="8:8" ht="36" customHeight="1" x14ac:dyDescent="0.25">
      <c r="H826" s="20"/>
    </row>
    <row r="827" spans="8:8" ht="36" customHeight="1" x14ac:dyDescent="0.25">
      <c r="H827" s="20"/>
    </row>
    <row r="828" spans="8:8" ht="36" customHeight="1" x14ac:dyDescent="0.25">
      <c r="H828" s="20"/>
    </row>
    <row r="829" spans="8:8" ht="36" customHeight="1" x14ac:dyDescent="0.25">
      <c r="H829" s="20"/>
    </row>
    <row r="830" spans="8:8" ht="36" customHeight="1" x14ac:dyDescent="0.25">
      <c r="H830" s="20"/>
    </row>
    <row r="831" spans="8:8" ht="36" customHeight="1" x14ac:dyDescent="0.25">
      <c r="H831" s="20"/>
    </row>
    <row r="832" spans="8:8" ht="36" customHeight="1" x14ac:dyDescent="0.25">
      <c r="H832" s="20"/>
    </row>
    <row r="833" spans="8:8" ht="36" customHeight="1" x14ac:dyDescent="0.25">
      <c r="H833" s="20"/>
    </row>
    <row r="834" spans="8:8" ht="36" customHeight="1" x14ac:dyDescent="0.25">
      <c r="H834" s="20"/>
    </row>
    <row r="835" spans="8:8" ht="36" customHeight="1" x14ac:dyDescent="0.25">
      <c r="H835" s="20"/>
    </row>
    <row r="836" spans="8:8" ht="36" customHeight="1" x14ac:dyDescent="0.25">
      <c r="H836" s="20"/>
    </row>
    <row r="837" spans="8:8" ht="36" customHeight="1" x14ac:dyDescent="0.25">
      <c r="H837" s="20"/>
    </row>
    <row r="838" spans="8:8" ht="36" customHeight="1" x14ac:dyDescent="0.25">
      <c r="H838" s="20"/>
    </row>
    <row r="839" spans="8:8" ht="36" customHeight="1" x14ac:dyDescent="0.25">
      <c r="H839" s="20"/>
    </row>
    <row r="840" spans="8:8" ht="36" customHeight="1" x14ac:dyDescent="0.25">
      <c r="H840" s="20"/>
    </row>
    <row r="841" spans="8:8" ht="36" customHeight="1" x14ac:dyDescent="0.25">
      <c r="H841" s="20"/>
    </row>
    <row r="842" spans="8:8" ht="36" customHeight="1" x14ac:dyDescent="0.25">
      <c r="H842" s="20"/>
    </row>
    <row r="843" spans="8:8" ht="36" customHeight="1" x14ac:dyDescent="0.25">
      <c r="H843" s="20"/>
    </row>
    <row r="844" spans="8:8" ht="36" customHeight="1" x14ac:dyDescent="0.25">
      <c r="H844" s="20"/>
    </row>
    <row r="845" spans="8:8" ht="36" customHeight="1" x14ac:dyDescent="0.25">
      <c r="H845" s="20"/>
    </row>
    <row r="846" spans="8:8" ht="36" customHeight="1" x14ac:dyDescent="0.25">
      <c r="H846" s="20"/>
    </row>
    <row r="847" spans="8:8" ht="36" customHeight="1" x14ac:dyDescent="0.25">
      <c r="H847" s="20"/>
    </row>
    <row r="848" spans="8:8" ht="36" customHeight="1" x14ac:dyDescent="0.25">
      <c r="H848" s="20"/>
    </row>
    <row r="849" spans="8:8" ht="36" customHeight="1" x14ac:dyDescent="0.25">
      <c r="H849" s="20"/>
    </row>
    <row r="850" spans="8:8" ht="36" customHeight="1" x14ac:dyDescent="0.25">
      <c r="H850" s="20"/>
    </row>
    <row r="851" spans="8:8" ht="36" customHeight="1" x14ac:dyDescent="0.25">
      <c r="H851" s="20"/>
    </row>
    <row r="852" spans="8:8" ht="36" customHeight="1" x14ac:dyDescent="0.25">
      <c r="H852" s="20"/>
    </row>
    <row r="853" spans="8:8" ht="36" customHeight="1" x14ac:dyDescent="0.25">
      <c r="H853" s="20"/>
    </row>
    <row r="854" spans="8:8" ht="36" customHeight="1" x14ac:dyDescent="0.25">
      <c r="H854" s="20"/>
    </row>
    <row r="855" spans="8:8" ht="36" customHeight="1" x14ac:dyDescent="0.25">
      <c r="H855" s="20"/>
    </row>
    <row r="856" spans="8:8" ht="36" customHeight="1" x14ac:dyDescent="0.25">
      <c r="H856" s="20"/>
    </row>
    <row r="857" spans="8:8" ht="36" customHeight="1" x14ac:dyDescent="0.25">
      <c r="H857" s="20"/>
    </row>
    <row r="858" spans="8:8" ht="36" customHeight="1" x14ac:dyDescent="0.25">
      <c r="H858" s="20"/>
    </row>
    <row r="859" spans="8:8" ht="36" customHeight="1" x14ac:dyDescent="0.25">
      <c r="H859" s="20"/>
    </row>
    <row r="860" spans="8:8" ht="36" customHeight="1" x14ac:dyDescent="0.25">
      <c r="H860" s="20"/>
    </row>
    <row r="861" spans="8:8" ht="36" customHeight="1" x14ac:dyDescent="0.25">
      <c r="H861" s="20"/>
    </row>
    <row r="862" spans="8:8" ht="36" customHeight="1" x14ac:dyDescent="0.25">
      <c r="H862" s="20"/>
    </row>
    <row r="863" spans="8:8" ht="36" customHeight="1" x14ac:dyDescent="0.25">
      <c r="H863" s="20"/>
    </row>
    <row r="864" spans="8:8" ht="36" customHeight="1" x14ac:dyDescent="0.25">
      <c r="H864" s="20"/>
    </row>
    <row r="865" spans="8:8" ht="36" customHeight="1" x14ac:dyDescent="0.25">
      <c r="H865" s="20"/>
    </row>
    <row r="866" spans="8:8" ht="36" customHeight="1" x14ac:dyDescent="0.25">
      <c r="H866" s="20"/>
    </row>
    <row r="867" spans="8:8" ht="36" customHeight="1" x14ac:dyDescent="0.25">
      <c r="H867" s="20"/>
    </row>
    <row r="868" spans="8:8" ht="36" customHeight="1" x14ac:dyDescent="0.25">
      <c r="H868" s="20"/>
    </row>
    <row r="869" spans="8:8" ht="36" customHeight="1" x14ac:dyDescent="0.25">
      <c r="H869" s="20"/>
    </row>
    <row r="870" spans="8:8" ht="36" customHeight="1" x14ac:dyDescent="0.25">
      <c r="H870" s="20"/>
    </row>
    <row r="871" spans="8:8" ht="36" customHeight="1" x14ac:dyDescent="0.25">
      <c r="H871" s="20"/>
    </row>
    <row r="872" spans="8:8" ht="36" customHeight="1" x14ac:dyDescent="0.25">
      <c r="H872" s="20"/>
    </row>
    <row r="873" spans="8:8" ht="36" customHeight="1" x14ac:dyDescent="0.25">
      <c r="H873" s="20"/>
    </row>
    <row r="874" spans="8:8" ht="36" customHeight="1" x14ac:dyDescent="0.25">
      <c r="H874" s="20"/>
    </row>
    <row r="875" spans="8:8" ht="36" customHeight="1" x14ac:dyDescent="0.25">
      <c r="H875" s="20"/>
    </row>
    <row r="876" spans="8:8" ht="36" customHeight="1" x14ac:dyDescent="0.25">
      <c r="H876" s="20"/>
    </row>
    <row r="877" spans="8:8" ht="36" customHeight="1" x14ac:dyDescent="0.25">
      <c r="H877" s="20"/>
    </row>
    <row r="878" spans="8:8" ht="36" customHeight="1" x14ac:dyDescent="0.25">
      <c r="H878" s="20"/>
    </row>
    <row r="879" spans="8:8" ht="36" customHeight="1" x14ac:dyDescent="0.25">
      <c r="H879" s="20"/>
    </row>
    <row r="880" spans="8:8" ht="36" customHeight="1" x14ac:dyDescent="0.25">
      <c r="H880" s="20"/>
    </row>
    <row r="881" spans="8:8" ht="36" customHeight="1" x14ac:dyDescent="0.25">
      <c r="H881" s="20"/>
    </row>
    <row r="882" spans="8:8" ht="36" customHeight="1" x14ac:dyDescent="0.25">
      <c r="H882" s="20"/>
    </row>
    <row r="883" spans="8:8" ht="36" customHeight="1" x14ac:dyDescent="0.25">
      <c r="H883" s="20"/>
    </row>
    <row r="884" spans="8:8" ht="36" customHeight="1" x14ac:dyDescent="0.25">
      <c r="H884" s="20"/>
    </row>
    <row r="885" spans="8:8" ht="36" customHeight="1" x14ac:dyDescent="0.25">
      <c r="H885" s="20"/>
    </row>
    <row r="886" spans="8:8" ht="36" customHeight="1" x14ac:dyDescent="0.25">
      <c r="H886" s="20"/>
    </row>
    <row r="887" spans="8:8" ht="36" customHeight="1" x14ac:dyDescent="0.25">
      <c r="H887" s="20"/>
    </row>
    <row r="888" spans="8:8" ht="36" customHeight="1" x14ac:dyDescent="0.25">
      <c r="H888" s="20"/>
    </row>
    <row r="889" spans="8:8" ht="36" customHeight="1" x14ac:dyDescent="0.25">
      <c r="H889" s="20"/>
    </row>
    <row r="890" spans="8:8" ht="36" customHeight="1" x14ac:dyDescent="0.25">
      <c r="H890" s="20"/>
    </row>
    <row r="891" spans="8:8" ht="36" customHeight="1" x14ac:dyDescent="0.25">
      <c r="H891" s="20"/>
    </row>
    <row r="892" spans="8:8" ht="36" customHeight="1" x14ac:dyDescent="0.25">
      <c r="H892" s="20"/>
    </row>
    <row r="893" spans="8:8" ht="36" customHeight="1" x14ac:dyDescent="0.25">
      <c r="H893" s="20"/>
    </row>
    <row r="894" spans="8:8" ht="36" customHeight="1" x14ac:dyDescent="0.25">
      <c r="H894" s="20"/>
    </row>
    <row r="895" spans="8:8" ht="36" customHeight="1" x14ac:dyDescent="0.25">
      <c r="H895" s="20"/>
    </row>
    <row r="896" spans="8:8" ht="36" customHeight="1" x14ac:dyDescent="0.25">
      <c r="H896" s="20"/>
    </row>
    <row r="897" spans="8:8" ht="36" customHeight="1" x14ac:dyDescent="0.25">
      <c r="H897" s="20"/>
    </row>
    <row r="898" spans="8:8" ht="36" customHeight="1" x14ac:dyDescent="0.25">
      <c r="H898" s="20"/>
    </row>
    <row r="899" spans="8:8" ht="36" customHeight="1" x14ac:dyDescent="0.25">
      <c r="H899" s="20"/>
    </row>
    <row r="900" spans="8:8" ht="36" customHeight="1" x14ac:dyDescent="0.25">
      <c r="H900" s="20"/>
    </row>
    <row r="901" spans="8:8" ht="36" customHeight="1" x14ac:dyDescent="0.25">
      <c r="H901" s="20"/>
    </row>
    <row r="902" spans="8:8" ht="36" customHeight="1" x14ac:dyDescent="0.25">
      <c r="H902" s="20"/>
    </row>
    <row r="903" spans="8:8" ht="36" customHeight="1" x14ac:dyDescent="0.25">
      <c r="H903" s="20"/>
    </row>
    <row r="904" spans="8:8" ht="36" customHeight="1" x14ac:dyDescent="0.25">
      <c r="H904" s="20"/>
    </row>
    <row r="905" spans="8:8" ht="36" customHeight="1" x14ac:dyDescent="0.25">
      <c r="H905" s="20"/>
    </row>
    <row r="906" spans="8:8" ht="36" customHeight="1" x14ac:dyDescent="0.25">
      <c r="H906" s="20"/>
    </row>
    <row r="907" spans="8:8" ht="36" customHeight="1" x14ac:dyDescent="0.25">
      <c r="H907" s="20"/>
    </row>
    <row r="908" spans="8:8" ht="36" customHeight="1" x14ac:dyDescent="0.25">
      <c r="H908" s="20"/>
    </row>
    <row r="909" spans="8:8" ht="36" customHeight="1" x14ac:dyDescent="0.25">
      <c r="H909" s="20"/>
    </row>
    <row r="910" spans="8:8" ht="36" customHeight="1" x14ac:dyDescent="0.25">
      <c r="H910" s="20"/>
    </row>
    <row r="911" spans="8:8" ht="36" customHeight="1" x14ac:dyDescent="0.25">
      <c r="H911" s="20"/>
    </row>
    <row r="912" spans="8:8" ht="36" customHeight="1" x14ac:dyDescent="0.25">
      <c r="H912" s="20"/>
    </row>
    <row r="913" spans="8:8" ht="36" customHeight="1" x14ac:dyDescent="0.25">
      <c r="H913" s="20"/>
    </row>
    <row r="914" spans="8:8" ht="36" customHeight="1" x14ac:dyDescent="0.25">
      <c r="H914" s="20"/>
    </row>
    <row r="915" spans="8:8" ht="36" customHeight="1" x14ac:dyDescent="0.25">
      <c r="H915" s="20"/>
    </row>
    <row r="916" spans="8:8" ht="36" customHeight="1" x14ac:dyDescent="0.25">
      <c r="H916" s="20"/>
    </row>
    <row r="917" spans="8:8" ht="36" customHeight="1" x14ac:dyDescent="0.25">
      <c r="H917" s="20"/>
    </row>
    <row r="918" spans="8:8" ht="36" customHeight="1" x14ac:dyDescent="0.25">
      <c r="H918" s="20"/>
    </row>
    <row r="919" spans="8:8" ht="36" customHeight="1" x14ac:dyDescent="0.25">
      <c r="H919" s="20"/>
    </row>
    <row r="920" spans="8:8" ht="36" customHeight="1" x14ac:dyDescent="0.25">
      <c r="H920" s="20"/>
    </row>
    <row r="921" spans="8:8" ht="36" customHeight="1" x14ac:dyDescent="0.25">
      <c r="H921" s="20"/>
    </row>
    <row r="922" spans="8:8" ht="36" customHeight="1" x14ac:dyDescent="0.25">
      <c r="H922" s="20"/>
    </row>
    <row r="923" spans="8:8" ht="36" customHeight="1" x14ac:dyDescent="0.25">
      <c r="H923" s="20"/>
    </row>
    <row r="924" spans="8:8" ht="36" customHeight="1" x14ac:dyDescent="0.25">
      <c r="H924" s="20"/>
    </row>
    <row r="925" spans="8:8" ht="36" customHeight="1" x14ac:dyDescent="0.25">
      <c r="H925" s="20"/>
    </row>
    <row r="926" spans="8:8" ht="36" customHeight="1" x14ac:dyDescent="0.25">
      <c r="H926" s="20"/>
    </row>
    <row r="927" spans="8:8" ht="36" customHeight="1" x14ac:dyDescent="0.25">
      <c r="H927" s="20"/>
    </row>
    <row r="928" spans="8:8" ht="36" customHeight="1" x14ac:dyDescent="0.25">
      <c r="H928" s="20"/>
    </row>
    <row r="929" spans="8:8" ht="36" customHeight="1" x14ac:dyDescent="0.25">
      <c r="H929" s="20"/>
    </row>
    <row r="930" spans="8:8" ht="36" customHeight="1" x14ac:dyDescent="0.25">
      <c r="H930" s="20"/>
    </row>
    <row r="931" spans="8:8" ht="36" customHeight="1" x14ac:dyDescent="0.25">
      <c r="H931" s="20"/>
    </row>
    <row r="932" spans="8:8" ht="36" customHeight="1" x14ac:dyDescent="0.25">
      <c r="H932" s="20"/>
    </row>
    <row r="933" spans="8:8" ht="36" customHeight="1" x14ac:dyDescent="0.25">
      <c r="H933" s="20"/>
    </row>
    <row r="934" spans="8:8" ht="36" customHeight="1" x14ac:dyDescent="0.25">
      <c r="H934" s="20"/>
    </row>
    <row r="935" spans="8:8" ht="36" customHeight="1" x14ac:dyDescent="0.25">
      <c r="H935" s="20"/>
    </row>
    <row r="936" spans="8:8" ht="36" customHeight="1" x14ac:dyDescent="0.25">
      <c r="H936" s="20"/>
    </row>
    <row r="937" spans="8:8" ht="36" customHeight="1" x14ac:dyDescent="0.25">
      <c r="H937" s="20"/>
    </row>
    <row r="938" spans="8:8" ht="36" customHeight="1" x14ac:dyDescent="0.25">
      <c r="H938" s="20"/>
    </row>
    <row r="939" spans="8:8" ht="36" customHeight="1" x14ac:dyDescent="0.25">
      <c r="H939" s="20"/>
    </row>
    <row r="940" spans="8:8" ht="36" customHeight="1" x14ac:dyDescent="0.25">
      <c r="H940" s="20"/>
    </row>
    <row r="941" spans="8:8" ht="36" customHeight="1" x14ac:dyDescent="0.25">
      <c r="H941" s="20"/>
    </row>
    <row r="942" spans="8:8" ht="36" customHeight="1" x14ac:dyDescent="0.25">
      <c r="H942" s="20"/>
    </row>
    <row r="943" spans="8:8" ht="36" customHeight="1" x14ac:dyDescent="0.25">
      <c r="H943" s="20"/>
    </row>
    <row r="944" spans="8:8" ht="36" customHeight="1" x14ac:dyDescent="0.25">
      <c r="H944" s="20"/>
    </row>
    <row r="945" spans="8:8" ht="36" customHeight="1" x14ac:dyDescent="0.25">
      <c r="H945" s="20"/>
    </row>
    <row r="946" spans="8:8" ht="36" customHeight="1" x14ac:dyDescent="0.25">
      <c r="H946" s="20"/>
    </row>
    <row r="947" spans="8:8" ht="36" customHeight="1" x14ac:dyDescent="0.25">
      <c r="H947" s="20"/>
    </row>
    <row r="948" spans="8:8" ht="36" customHeight="1" x14ac:dyDescent="0.25">
      <c r="H948" s="20"/>
    </row>
    <row r="949" spans="8:8" ht="36" customHeight="1" x14ac:dyDescent="0.25">
      <c r="H949" s="20"/>
    </row>
    <row r="950" spans="8:8" ht="36" customHeight="1" x14ac:dyDescent="0.25">
      <c r="H950" s="20"/>
    </row>
    <row r="951" spans="8:8" ht="36" customHeight="1" x14ac:dyDescent="0.25">
      <c r="H951" s="20"/>
    </row>
    <row r="952" spans="8:8" ht="36" customHeight="1" x14ac:dyDescent="0.25">
      <c r="H952" s="20"/>
    </row>
    <row r="953" spans="8:8" ht="36" customHeight="1" x14ac:dyDescent="0.25">
      <c r="H953" s="20"/>
    </row>
    <row r="954" spans="8:8" ht="36" customHeight="1" x14ac:dyDescent="0.25">
      <c r="H954" s="20"/>
    </row>
    <row r="955" spans="8:8" ht="36" customHeight="1" x14ac:dyDescent="0.25">
      <c r="H955" s="20"/>
    </row>
    <row r="956" spans="8:8" ht="36" customHeight="1" x14ac:dyDescent="0.25">
      <c r="H956" s="20"/>
    </row>
    <row r="957" spans="8:8" ht="36" customHeight="1" x14ac:dyDescent="0.25">
      <c r="H957" s="20"/>
    </row>
    <row r="958" spans="8:8" ht="36" customHeight="1" x14ac:dyDescent="0.25">
      <c r="H958" s="20"/>
    </row>
    <row r="959" spans="8:8" ht="36" customHeight="1" x14ac:dyDescent="0.25">
      <c r="H959" s="20"/>
    </row>
    <row r="960" spans="8:8" ht="36" customHeight="1" x14ac:dyDescent="0.25">
      <c r="H960" s="20"/>
    </row>
    <row r="961" spans="8:8" ht="36" customHeight="1" x14ac:dyDescent="0.25">
      <c r="H961" s="20"/>
    </row>
    <row r="962" spans="8:8" ht="36" customHeight="1" x14ac:dyDescent="0.25">
      <c r="H962" s="20"/>
    </row>
    <row r="963" spans="8:8" ht="36" customHeight="1" x14ac:dyDescent="0.25">
      <c r="H963" s="20"/>
    </row>
    <row r="964" spans="8:8" ht="36" customHeight="1" x14ac:dyDescent="0.25">
      <c r="H964" s="20"/>
    </row>
    <row r="965" spans="8:8" ht="36" customHeight="1" x14ac:dyDescent="0.25">
      <c r="H965" s="20"/>
    </row>
    <row r="966" spans="8:8" ht="36" customHeight="1" x14ac:dyDescent="0.25">
      <c r="H966" s="20"/>
    </row>
    <row r="967" spans="8:8" ht="36" customHeight="1" x14ac:dyDescent="0.25">
      <c r="H967" s="20"/>
    </row>
    <row r="968" spans="8:8" ht="36" customHeight="1" x14ac:dyDescent="0.25">
      <c r="H968" s="20"/>
    </row>
    <row r="969" spans="8:8" ht="36" customHeight="1" x14ac:dyDescent="0.25">
      <c r="H969" s="20"/>
    </row>
    <row r="970" spans="8:8" ht="36" customHeight="1" x14ac:dyDescent="0.25">
      <c r="H970" s="20"/>
    </row>
    <row r="971" spans="8:8" ht="36" customHeight="1" x14ac:dyDescent="0.25">
      <c r="H971" s="20"/>
    </row>
    <row r="972" spans="8:8" ht="36" customHeight="1" x14ac:dyDescent="0.25">
      <c r="H972" s="20"/>
    </row>
    <row r="973" spans="8:8" ht="36" customHeight="1" x14ac:dyDescent="0.25">
      <c r="H973" s="20"/>
    </row>
    <row r="974" spans="8:8" ht="36" customHeight="1" x14ac:dyDescent="0.25">
      <c r="H974" s="20"/>
    </row>
    <row r="975" spans="8:8" ht="36" customHeight="1" x14ac:dyDescent="0.25">
      <c r="H975" s="20"/>
    </row>
    <row r="976" spans="8:8" ht="36" customHeight="1" x14ac:dyDescent="0.25">
      <c r="H976" s="20"/>
    </row>
    <row r="977" spans="8:8" ht="36" customHeight="1" x14ac:dyDescent="0.25">
      <c r="H977" s="20"/>
    </row>
    <row r="978" spans="8:8" ht="36" customHeight="1" x14ac:dyDescent="0.25">
      <c r="H978" s="20"/>
    </row>
    <row r="979" spans="8:8" ht="36" customHeight="1" x14ac:dyDescent="0.25">
      <c r="H979" s="20"/>
    </row>
    <row r="980" spans="8:8" ht="36" customHeight="1" x14ac:dyDescent="0.25">
      <c r="H980" s="20"/>
    </row>
    <row r="981" spans="8:8" ht="36" customHeight="1" x14ac:dyDescent="0.25">
      <c r="H981" s="20"/>
    </row>
    <row r="982" spans="8:8" ht="36" customHeight="1" x14ac:dyDescent="0.25">
      <c r="H982" s="20"/>
    </row>
    <row r="983" spans="8:8" ht="36" customHeight="1" x14ac:dyDescent="0.25">
      <c r="H983" s="20"/>
    </row>
    <row r="984" spans="8:8" ht="36" customHeight="1" x14ac:dyDescent="0.25">
      <c r="H984" s="20"/>
    </row>
    <row r="985" spans="8:8" ht="36" customHeight="1" x14ac:dyDescent="0.25">
      <c r="H985" s="20"/>
    </row>
    <row r="986" spans="8:8" ht="36" customHeight="1" x14ac:dyDescent="0.25">
      <c r="H986" s="20"/>
    </row>
    <row r="987" spans="8:8" ht="36" customHeight="1" x14ac:dyDescent="0.25">
      <c r="H987" s="20"/>
    </row>
    <row r="988" spans="8:8" ht="36" customHeight="1" x14ac:dyDescent="0.25">
      <c r="H988" s="20"/>
    </row>
    <row r="989" spans="8:8" ht="36" customHeight="1" x14ac:dyDescent="0.25">
      <c r="H989" s="20"/>
    </row>
    <row r="990" spans="8:8" ht="36" customHeight="1" x14ac:dyDescent="0.25">
      <c r="H990" s="20"/>
    </row>
    <row r="991" spans="8:8" ht="36" customHeight="1" x14ac:dyDescent="0.25">
      <c r="H991" s="20"/>
    </row>
    <row r="992" spans="8:8" ht="36" customHeight="1" x14ac:dyDescent="0.25">
      <c r="H992" s="20"/>
    </row>
    <row r="993" spans="8:8" ht="36" customHeight="1" x14ac:dyDescent="0.25">
      <c r="H993" s="20"/>
    </row>
    <row r="994" spans="8:8" ht="36" customHeight="1" x14ac:dyDescent="0.25">
      <c r="H994" s="20"/>
    </row>
    <row r="995" spans="8:8" ht="36" customHeight="1" x14ac:dyDescent="0.25">
      <c r="H995" s="20"/>
    </row>
    <row r="996" spans="8:8" ht="36" customHeight="1" x14ac:dyDescent="0.25">
      <c r="H996" s="20"/>
    </row>
    <row r="997" spans="8:8" ht="36" customHeight="1" x14ac:dyDescent="0.25">
      <c r="H997" s="20"/>
    </row>
    <row r="998" spans="8:8" ht="36" customHeight="1" x14ac:dyDescent="0.25">
      <c r="H998" s="20"/>
    </row>
    <row r="999" spans="8:8" ht="36" customHeight="1" x14ac:dyDescent="0.25">
      <c r="H999" s="20"/>
    </row>
    <row r="1000" spans="8:8" ht="36" customHeight="1" x14ac:dyDescent="0.25">
      <c r="H1000" s="20"/>
    </row>
    <row r="1001" spans="8:8" ht="36" customHeight="1" x14ac:dyDescent="0.25">
      <c r="H1001" s="20"/>
    </row>
    <row r="1002" spans="8:8" ht="36" customHeight="1" x14ac:dyDescent="0.25">
      <c r="H1002" s="20"/>
    </row>
    <row r="1003" spans="8:8" ht="36" customHeight="1" x14ac:dyDescent="0.25">
      <c r="H1003" s="20"/>
    </row>
    <row r="1004" spans="8:8" ht="36" customHeight="1" x14ac:dyDescent="0.25">
      <c r="H1004" s="20"/>
    </row>
    <row r="1005" spans="8:8" ht="36" customHeight="1" x14ac:dyDescent="0.25">
      <c r="H1005" s="20"/>
    </row>
    <row r="1006" spans="8:8" ht="36" customHeight="1" x14ac:dyDescent="0.25">
      <c r="H1006" s="20"/>
    </row>
    <row r="1007" spans="8:8" ht="36" customHeight="1" x14ac:dyDescent="0.25">
      <c r="H1007" s="20"/>
    </row>
    <row r="1008" spans="8:8" ht="36" customHeight="1" x14ac:dyDescent="0.25">
      <c r="H1008" s="20"/>
    </row>
    <row r="1009" spans="8:8" ht="36" customHeight="1" x14ac:dyDescent="0.25">
      <c r="H1009" s="20"/>
    </row>
    <row r="1010" spans="8:8" ht="36" customHeight="1" x14ac:dyDescent="0.25">
      <c r="H1010" s="20"/>
    </row>
    <row r="1011" spans="8:8" ht="36" customHeight="1" x14ac:dyDescent="0.25">
      <c r="H1011" s="20"/>
    </row>
    <row r="1012" spans="8:8" ht="36" customHeight="1" x14ac:dyDescent="0.25">
      <c r="H1012" s="20"/>
    </row>
    <row r="1013" spans="8:8" ht="36" customHeight="1" x14ac:dyDescent="0.25">
      <c r="H1013" s="20"/>
    </row>
    <row r="1014" spans="8:8" ht="36" customHeight="1" x14ac:dyDescent="0.25">
      <c r="H1014" s="20"/>
    </row>
    <row r="1015" spans="8:8" ht="36" customHeight="1" x14ac:dyDescent="0.25">
      <c r="H1015" s="20"/>
    </row>
    <row r="1016" spans="8:8" ht="36" customHeight="1" x14ac:dyDescent="0.25">
      <c r="H1016" s="20"/>
    </row>
    <row r="1017" spans="8:8" ht="36" customHeight="1" x14ac:dyDescent="0.25">
      <c r="H1017" s="20"/>
    </row>
    <row r="1018" spans="8:8" ht="36" customHeight="1" x14ac:dyDescent="0.25">
      <c r="H1018" s="20"/>
    </row>
    <row r="1019" spans="8:8" ht="36" customHeight="1" x14ac:dyDescent="0.25">
      <c r="H1019" s="20"/>
    </row>
    <row r="1020" spans="8:8" ht="36" customHeight="1" x14ac:dyDescent="0.25">
      <c r="H1020" s="20"/>
    </row>
    <row r="1021" spans="8:8" ht="36" customHeight="1" x14ac:dyDescent="0.25">
      <c r="H1021" s="20"/>
    </row>
    <row r="1022" spans="8:8" ht="36" customHeight="1" x14ac:dyDescent="0.25">
      <c r="H1022" s="20"/>
    </row>
    <row r="1023" spans="8:8" ht="36" customHeight="1" x14ac:dyDescent="0.25">
      <c r="H1023" s="20"/>
    </row>
    <row r="1024" spans="8:8" ht="36" customHeight="1" x14ac:dyDescent="0.25">
      <c r="H1024" s="20"/>
    </row>
    <row r="1025" spans="8:8" ht="36" customHeight="1" x14ac:dyDescent="0.25">
      <c r="H1025" s="20"/>
    </row>
    <row r="1026" spans="8:8" ht="36" customHeight="1" x14ac:dyDescent="0.25">
      <c r="H1026" s="20"/>
    </row>
    <row r="1027" spans="8:8" ht="36" customHeight="1" x14ac:dyDescent="0.25">
      <c r="H1027" s="20"/>
    </row>
    <row r="1028" spans="8:8" ht="36" customHeight="1" x14ac:dyDescent="0.25">
      <c r="H1028" s="20"/>
    </row>
    <row r="1029" spans="8:8" ht="36" customHeight="1" x14ac:dyDescent="0.25">
      <c r="H1029" s="20"/>
    </row>
    <row r="1030" spans="8:8" ht="36" customHeight="1" x14ac:dyDescent="0.25">
      <c r="H1030" s="20"/>
    </row>
    <row r="1031" spans="8:8" ht="36" customHeight="1" x14ac:dyDescent="0.25">
      <c r="H1031" s="20"/>
    </row>
    <row r="1032" spans="8:8" ht="36" customHeight="1" x14ac:dyDescent="0.25">
      <c r="H1032" s="20"/>
    </row>
    <row r="1033" spans="8:8" ht="36" customHeight="1" x14ac:dyDescent="0.25">
      <c r="H1033" s="20"/>
    </row>
    <row r="1034" spans="8:8" ht="36" customHeight="1" x14ac:dyDescent="0.25">
      <c r="H1034" s="20"/>
    </row>
    <row r="1035" spans="8:8" ht="36" customHeight="1" x14ac:dyDescent="0.25">
      <c r="H1035" s="20"/>
    </row>
    <row r="1036" spans="8:8" ht="36" customHeight="1" x14ac:dyDescent="0.25">
      <c r="H1036" s="20"/>
    </row>
    <row r="1037" spans="8:8" ht="36" customHeight="1" x14ac:dyDescent="0.25">
      <c r="H1037" s="20"/>
    </row>
    <row r="1038" spans="8:8" ht="36" customHeight="1" x14ac:dyDescent="0.25">
      <c r="H1038" s="20"/>
    </row>
    <row r="1039" spans="8:8" ht="36" customHeight="1" x14ac:dyDescent="0.25">
      <c r="H1039" s="20"/>
    </row>
    <row r="1040" spans="8:8" ht="36" customHeight="1" x14ac:dyDescent="0.25">
      <c r="H1040" s="20"/>
    </row>
    <row r="1041" spans="8:8" ht="36" customHeight="1" x14ac:dyDescent="0.25">
      <c r="H1041" s="20"/>
    </row>
    <row r="1042" spans="8:8" ht="36" customHeight="1" x14ac:dyDescent="0.25">
      <c r="H1042" s="20"/>
    </row>
    <row r="1043" spans="8:8" ht="36" customHeight="1" x14ac:dyDescent="0.25">
      <c r="H1043" s="20"/>
    </row>
    <row r="1044" spans="8:8" ht="36" customHeight="1" x14ac:dyDescent="0.25">
      <c r="H1044" s="20"/>
    </row>
    <row r="1045" spans="8:8" ht="36" customHeight="1" x14ac:dyDescent="0.25">
      <c r="H1045" s="20"/>
    </row>
    <row r="1046" spans="8:8" ht="36" customHeight="1" x14ac:dyDescent="0.25">
      <c r="H1046" s="20"/>
    </row>
    <row r="1047" spans="8:8" ht="36" customHeight="1" x14ac:dyDescent="0.25">
      <c r="H1047" s="20"/>
    </row>
    <row r="1048" spans="8:8" ht="36" customHeight="1" x14ac:dyDescent="0.25">
      <c r="H1048" s="20"/>
    </row>
    <row r="1049" spans="8:8" ht="36" customHeight="1" x14ac:dyDescent="0.25">
      <c r="H1049" s="20"/>
    </row>
    <row r="1050" spans="8:8" ht="36" customHeight="1" x14ac:dyDescent="0.25">
      <c r="H1050" s="20"/>
    </row>
    <row r="1051" spans="8:8" ht="36" customHeight="1" x14ac:dyDescent="0.25">
      <c r="H1051" s="20"/>
    </row>
    <row r="1052" spans="8:8" ht="36" customHeight="1" x14ac:dyDescent="0.25">
      <c r="H1052" s="20"/>
    </row>
    <row r="1053" spans="8:8" ht="36" customHeight="1" x14ac:dyDescent="0.25">
      <c r="H1053" s="20"/>
    </row>
    <row r="1054" spans="8:8" ht="36" customHeight="1" x14ac:dyDescent="0.25">
      <c r="H1054" s="20"/>
    </row>
    <row r="1055" spans="8:8" ht="36" customHeight="1" x14ac:dyDescent="0.25">
      <c r="H1055" s="20"/>
    </row>
    <row r="1056" spans="8:8" ht="36" customHeight="1" x14ac:dyDescent="0.25">
      <c r="H1056" s="20"/>
    </row>
    <row r="1057" spans="8:8" ht="36" customHeight="1" x14ac:dyDescent="0.25">
      <c r="H1057" s="20"/>
    </row>
    <row r="1058" spans="8:8" ht="36" customHeight="1" x14ac:dyDescent="0.25">
      <c r="H1058" s="20"/>
    </row>
    <row r="1059" spans="8:8" ht="36" customHeight="1" x14ac:dyDescent="0.25">
      <c r="H1059" s="20"/>
    </row>
    <row r="1060" spans="8:8" ht="36" customHeight="1" x14ac:dyDescent="0.25">
      <c r="H1060" s="20"/>
    </row>
    <row r="1061" spans="8:8" ht="36" customHeight="1" x14ac:dyDescent="0.25">
      <c r="H1061" s="20"/>
    </row>
    <row r="1062" spans="8:8" ht="36" customHeight="1" x14ac:dyDescent="0.25">
      <c r="H1062" s="20"/>
    </row>
    <row r="1063" spans="8:8" ht="36" customHeight="1" x14ac:dyDescent="0.25">
      <c r="H1063" s="20"/>
    </row>
    <row r="1064" spans="8:8" ht="36" customHeight="1" x14ac:dyDescent="0.25">
      <c r="H1064" s="20"/>
    </row>
    <row r="1065" spans="8:8" ht="36" customHeight="1" x14ac:dyDescent="0.25">
      <c r="H1065" s="20"/>
    </row>
    <row r="1066" spans="8:8" ht="36" customHeight="1" x14ac:dyDescent="0.25">
      <c r="H1066" s="20"/>
    </row>
    <row r="1067" spans="8:8" ht="36" customHeight="1" x14ac:dyDescent="0.25">
      <c r="H1067" s="20"/>
    </row>
    <row r="1068" spans="8:8" ht="36" customHeight="1" x14ac:dyDescent="0.25">
      <c r="H1068" s="20"/>
    </row>
    <row r="1069" spans="8:8" ht="36" customHeight="1" x14ac:dyDescent="0.25">
      <c r="H1069" s="20"/>
    </row>
    <row r="1070" spans="8:8" ht="36" customHeight="1" x14ac:dyDescent="0.25">
      <c r="H1070" s="20"/>
    </row>
    <row r="1071" spans="8:8" ht="36" customHeight="1" x14ac:dyDescent="0.25">
      <c r="H1071" s="20"/>
    </row>
    <row r="1072" spans="8:8" ht="36" customHeight="1" x14ac:dyDescent="0.25">
      <c r="H1072" s="20"/>
    </row>
    <row r="1073" spans="8:8" ht="36" customHeight="1" x14ac:dyDescent="0.25">
      <c r="H1073" s="20"/>
    </row>
    <row r="1074" spans="8:8" ht="36" customHeight="1" x14ac:dyDescent="0.25">
      <c r="H1074" s="20"/>
    </row>
    <row r="1075" spans="8:8" ht="36" customHeight="1" x14ac:dyDescent="0.25">
      <c r="H1075" s="20"/>
    </row>
    <row r="1076" spans="8:8" ht="36" customHeight="1" x14ac:dyDescent="0.25">
      <c r="H1076" s="20"/>
    </row>
    <row r="1077" spans="8:8" ht="36" customHeight="1" x14ac:dyDescent="0.25">
      <c r="H1077" s="20"/>
    </row>
    <row r="1078" spans="8:8" ht="36" customHeight="1" x14ac:dyDescent="0.25">
      <c r="H1078" s="20"/>
    </row>
    <row r="1079" spans="8:8" ht="36" customHeight="1" x14ac:dyDescent="0.25">
      <c r="H1079" s="20"/>
    </row>
    <row r="1080" spans="8:8" ht="36" customHeight="1" x14ac:dyDescent="0.25">
      <c r="H1080" s="20"/>
    </row>
    <row r="1081" spans="8:8" ht="36" customHeight="1" x14ac:dyDescent="0.25">
      <c r="H1081" s="20"/>
    </row>
    <row r="1082" spans="8:8" ht="36" customHeight="1" x14ac:dyDescent="0.25">
      <c r="H1082" s="20"/>
    </row>
    <row r="1083" spans="8:8" ht="36" customHeight="1" x14ac:dyDescent="0.25">
      <c r="H1083" s="20"/>
    </row>
    <row r="1084" spans="8:8" ht="36" customHeight="1" x14ac:dyDescent="0.25">
      <c r="H1084" s="20"/>
    </row>
    <row r="1085" spans="8:8" ht="36" customHeight="1" x14ac:dyDescent="0.25">
      <c r="H1085" s="20"/>
    </row>
    <row r="1086" spans="8:8" ht="36" customHeight="1" x14ac:dyDescent="0.25">
      <c r="H1086" s="20"/>
    </row>
    <row r="1087" spans="8:8" ht="36" customHeight="1" x14ac:dyDescent="0.25">
      <c r="H1087" s="20"/>
    </row>
    <row r="1088" spans="8:8" ht="36" customHeight="1" x14ac:dyDescent="0.25">
      <c r="H1088" s="20"/>
    </row>
    <row r="1089" spans="8:8" ht="36" customHeight="1" x14ac:dyDescent="0.25">
      <c r="H1089" s="20"/>
    </row>
    <row r="1090" spans="8:8" ht="36" customHeight="1" x14ac:dyDescent="0.25">
      <c r="H1090" s="20"/>
    </row>
    <row r="1091" spans="8:8" ht="36" customHeight="1" x14ac:dyDescent="0.25">
      <c r="H1091" s="20"/>
    </row>
    <row r="1092" spans="8:8" ht="36" customHeight="1" x14ac:dyDescent="0.25">
      <c r="H1092" s="20"/>
    </row>
    <row r="1093" spans="8:8" ht="36" customHeight="1" x14ac:dyDescent="0.25">
      <c r="H1093" s="20"/>
    </row>
    <row r="1094" spans="8:8" ht="36" customHeight="1" x14ac:dyDescent="0.25">
      <c r="H1094" s="20"/>
    </row>
    <row r="1095" spans="8:8" ht="36" customHeight="1" x14ac:dyDescent="0.25">
      <c r="H1095" s="20"/>
    </row>
    <row r="1096" spans="8:8" ht="36" customHeight="1" x14ac:dyDescent="0.25">
      <c r="H1096" s="20"/>
    </row>
    <row r="1097" spans="8:8" ht="36" customHeight="1" x14ac:dyDescent="0.25">
      <c r="H1097" s="20"/>
    </row>
    <row r="1098" spans="8:8" ht="36" customHeight="1" x14ac:dyDescent="0.25">
      <c r="H1098" s="20"/>
    </row>
    <row r="1099" spans="8:8" ht="36" customHeight="1" x14ac:dyDescent="0.25">
      <c r="H1099" s="20"/>
    </row>
    <row r="1100" spans="8:8" ht="36" customHeight="1" x14ac:dyDescent="0.25">
      <c r="H1100" s="20"/>
    </row>
    <row r="1101" spans="8:8" ht="36" customHeight="1" x14ac:dyDescent="0.25">
      <c r="H1101" s="20"/>
    </row>
    <row r="1102" spans="8:8" ht="36" customHeight="1" x14ac:dyDescent="0.25">
      <c r="H1102" s="20"/>
    </row>
    <row r="1103" spans="8:8" ht="36" customHeight="1" x14ac:dyDescent="0.25">
      <c r="H1103" s="20"/>
    </row>
    <row r="1104" spans="8:8" ht="36" customHeight="1" x14ac:dyDescent="0.25">
      <c r="H1104" s="20"/>
    </row>
    <row r="1105" spans="8:8" ht="36" customHeight="1" x14ac:dyDescent="0.25">
      <c r="H1105" s="20"/>
    </row>
    <row r="1106" spans="8:8" ht="36" customHeight="1" x14ac:dyDescent="0.25">
      <c r="H1106" s="20"/>
    </row>
    <row r="1107" spans="8:8" ht="36" customHeight="1" x14ac:dyDescent="0.25">
      <c r="H1107" s="20"/>
    </row>
    <row r="1108" spans="8:8" ht="36" customHeight="1" x14ac:dyDescent="0.25">
      <c r="H1108" s="20"/>
    </row>
    <row r="1109" spans="8:8" ht="36" customHeight="1" x14ac:dyDescent="0.25">
      <c r="H1109" s="20"/>
    </row>
    <row r="1110" spans="8:8" ht="36" customHeight="1" x14ac:dyDescent="0.25">
      <c r="H1110" s="20"/>
    </row>
    <row r="1111" spans="8:8" ht="36" customHeight="1" x14ac:dyDescent="0.25">
      <c r="H1111" s="20"/>
    </row>
    <row r="1112" spans="8:8" ht="36" customHeight="1" x14ac:dyDescent="0.25">
      <c r="H1112" s="20"/>
    </row>
    <row r="1113" spans="8:8" ht="36" customHeight="1" x14ac:dyDescent="0.25">
      <c r="H1113" s="20"/>
    </row>
    <row r="1114" spans="8:8" ht="36" customHeight="1" x14ac:dyDescent="0.25">
      <c r="H1114" s="20"/>
    </row>
    <row r="1115" spans="8:8" ht="36" customHeight="1" x14ac:dyDescent="0.25">
      <c r="H1115" s="20"/>
    </row>
    <row r="1116" spans="8:8" ht="36" customHeight="1" x14ac:dyDescent="0.25">
      <c r="H1116" s="20"/>
    </row>
    <row r="1117" spans="8:8" ht="36" customHeight="1" x14ac:dyDescent="0.25">
      <c r="H1117" s="20"/>
    </row>
    <row r="1118" spans="8:8" ht="36" customHeight="1" x14ac:dyDescent="0.25">
      <c r="H1118" s="20"/>
    </row>
    <row r="1119" spans="8:8" ht="36" customHeight="1" x14ac:dyDescent="0.25">
      <c r="H1119" s="20"/>
    </row>
    <row r="1120" spans="8:8" ht="36" customHeight="1" x14ac:dyDescent="0.25">
      <c r="H1120" s="20"/>
    </row>
    <row r="1121" spans="8:8" ht="36" customHeight="1" x14ac:dyDescent="0.25">
      <c r="H1121" s="20"/>
    </row>
    <row r="1122" spans="8:8" ht="36" customHeight="1" x14ac:dyDescent="0.25">
      <c r="H1122" s="20"/>
    </row>
    <row r="1123" spans="8:8" ht="36" customHeight="1" x14ac:dyDescent="0.25">
      <c r="H1123" s="20"/>
    </row>
    <row r="1124" spans="8:8" ht="36" customHeight="1" x14ac:dyDescent="0.25">
      <c r="H1124" s="20"/>
    </row>
    <row r="1125" spans="8:8" ht="36" customHeight="1" x14ac:dyDescent="0.25">
      <c r="H1125" s="20"/>
    </row>
    <row r="1126" spans="8:8" ht="36" customHeight="1" x14ac:dyDescent="0.25">
      <c r="H1126" s="20"/>
    </row>
    <row r="1127" spans="8:8" ht="36" customHeight="1" x14ac:dyDescent="0.25">
      <c r="H1127" s="20"/>
    </row>
    <row r="1128" spans="8:8" ht="36" customHeight="1" x14ac:dyDescent="0.25">
      <c r="H1128" s="20"/>
    </row>
    <row r="1129" spans="8:8" ht="36" customHeight="1" x14ac:dyDescent="0.25">
      <c r="H1129" s="20"/>
    </row>
    <row r="1130" spans="8:8" ht="36" customHeight="1" x14ac:dyDescent="0.25">
      <c r="H1130" s="20"/>
    </row>
    <row r="1131" spans="8:8" ht="36" customHeight="1" x14ac:dyDescent="0.25">
      <c r="H1131" s="20"/>
    </row>
    <row r="1132" spans="8:8" ht="36" customHeight="1" x14ac:dyDescent="0.25">
      <c r="H1132" s="20"/>
    </row>
    <row r="1133" spans="8:8" ht="36" customHeight="1" x14ac:dyDescent="0.25">
      <c r="H1133" s="20"/>
    </row>
    <row r="1134" spans="8:8" ht="36" customHeight="1" x14ac:dyDescent="0.25">
      <c r="H1134" s="20"/>
    </row>
    <row r="1135" spans="8:8" ht="36" customHeight="1" x14ac:dyDescent="0.25">
      <c r="H1135" s="20"/>
    </row>
    <row r="1136" spans="8:8" ht="36" customHeight="1" x14ac:dyDescent="0.25">
      <c r="H1136" s="20"/>
    </row>
    <row r="1137" spans="8:8" ht="36" customHeight="1" x14ac:dyDescent="0.25">
      <c r="H1137" s="20"/>
    </row>
    <row r="1138" spans="8:8" ht="36" customHeight="1" x14ac:dyDescent="0.25">
      <c r="H1138" s="20"/>
    </row>
    <row r="1139" spans="8:8" ht="36" customHeight="1" x14ac:dyDescent="0.25">
      <c r="H1139" s="20"/>
    </row>
    <row r="1140" spans="8:8" ht="36" customHeight="1" x14ac:dyDescent="0.25">
      <c r="H1140" s="20"/>
    </row>
    <row r="1141" spans="8:8" ht="36" customHeight="1" x14ac:dyDescent="0.25">
      <c r="H1141" s="20"/>
    </row>
    <row r="1142" spans="8:8" ht="36" customHeight="1" x14ac:dyDescent="0.25">
      <c r="H1142" s="20"/>
    </row>
    <row r="1143" spans="8:8" ht="36" customHeight="1" x14ac:dyDescent="0.25">
      <c r="H1143" s="20"/>
    </row>
    <row r="1144" spans="8:8" ht="36" customHeight="1" x14ac:dyDescent="0.25">
      <c r="H1144" s="20"/>
    </row>
    <row r="1145" spans="8:8" ht="36" customHeight="1" x14ac:dyDescent="0.25">
      <c r="H1145" s="20"/>
    </row>
    <row r="1146" spans="8:8" ht="36" customHeight="1" x14ac:dyDescent="0.25">
      <c r="H1146" s="20"/>
    </row>
    <row r="1147" spans="8:8" ht="36" customHeight="1" x14ac:dyDescent="0.25">
      <c r="H1147" s="20"/>
    </row>
    <row r="1148" spans="8:8" ht="36" customHeight="1" x14ac:dyDescent="0.25">
      <c r="H1148" s="20"/>
    </row>
    <row r="1149" spans="8:8" ht="36" customHeight="1" x14ac:dyDescent="0.25">
      <c r="H1149" s="20"/>
    </row>
    <row r="1150" spans="8:8" ht="36" customHeight="1" x14ac:dyDescent="0.25">
      <c r="H1150" s="20"/>
    </row>
    <row r="1151" spans="8:8" ht="36" customHeight="1" x14ac:dyDescent="0.25">
      <c r="H1151" s="20"/>
    </row>
    <row r="1152" spans="8:8" ht="36" customHeight="1" x14ac:dyDescent="0.25">
      <c r="H1152" s="20"/>
    </row>
    <row r="1153" spans="8:8" ht="36" customHeight="1" x14ac:dyDescent="0.25">
      <c r="H1153" s="20"/>
    </row>
    <row r="1154" spans="8:8" ht="36" customHeight="1" x14ac:dyDescent="0.25">
      <c r="H1154" s="20"/>
    </row>
    <row r="1155" spans="8:8" ht="36" customHeight="1" x14ac:dyDescent="0.25">
      <c r="H1155" s="20"/>
    </row>
    <row r="1156" spans="8:8" ht="36" customHeight="1" x14ac:dyDescent="0.25">
      <c r="H1156" s="20"/>
    </row>
    <row r="1157" spans="8:8" ht="36" customHeight="1" x14ac:dyDescent="0.25">
      <c r="H1157" s="20"/>
    </row>
    <row r="1158" spans="8:8" ht="36" customHeight="1" x14ac:dyDescent="0.25">
      <c r="H1158" s="20"/>
    </row>
    <row r="1159" spans="8:8" ht="36" customHeight="1" x14ac:dyDescent="0.25">
      <c r="H1159" s="20"/>
    </row>
    <row r="1160" spans="8:8" ht="36" customHeight="1" x14ac:dyDescent="0.25">
      <c r="H1160" s="20"/>
    </row>
    <row r="1161" spans="8:8" ht="36" customHeight="1" x14ac:dyDescent="0.25">
      <c r="H1161" s="20"/>
    </row>
    <row r="1162" spans="8:8" ht="36" customHeight="1" x14ac:dyDescent="0.25">
      <c r="H1162" s="20"/>
    </row>
    <row r="1163" spans="8:8" ht="36" customHeight="1" x14ac:dyDescent="0.25">
      <c r="H1163" s="20"/>
    </row>
    <row r="1164" spans="8:8" ht="36" customHeight="1" x14ac:dyDescent="0.25">
      <c r="H1164" s="20"/>
    </row>
    <row r="1165" spans="8:8" ht="36" customHeight="1" x14ac:dyDescent="0.25">
      <c r="H1165" s="20"/>
    </row>
    <row r="1166" spans="8:8" ht="36" customHeight="1" x14ac:dyDescent="0.25">
      <c r="H1166" s="20"/>
    </row>
    <row r="1167" spans="8:8" ht="36" customHeight="1" x14ac:dyDescent="0.25">
      <c r="H1167" s="20"/>
    </row>
    <row r="1168" spans="8:8" ht="36" customHeight="1" x14ac:dyDescent="0.25">
      <c r="H1168" s="20"/>
    </row>
    <row r="1169" spans="8:8" ht="36" customHeight="1" x14ac:dyDescent="0.25">
      <c r="H1169" s="20"/>
    </row>
    <row r="1170" spans="8:8" ht="36" customHeight="1" x14ac:dyDescent="0.25">
      <c r="H1170" s="20"/>
    </row>
    <row r="1171" spans="8:8" ht="36" customHeight="1" x14ac:dyDescent="0.25">
      <c r="H1171" s="20"/>
    </row>
    <row r="1172" spans="8:8" ht="36" customHeight="1" x14ac:dyDescent="0.25">
      <c r="H1172" s="20"/>
    </row>
    <row r="1173" spans="8:8" ht="36" customHeight="1" x14ac:dyDescent="0.25">
      <c r="H1173" s="20"/>
    </row>
    <row r="1174" spans="8:8" ht="36" customHeight="1" x14ac:dyDescent="0.25">
      <c r="H1174" s="20"/>
    </row>
    <row r="1175" spans="8:8" ht="36" customHeight="1" x14ac:dyDescent="0.25">
      <c r="H1175" s="20"/>
    </row>
    <row r="1176" spans="8:8" ht="36" customHeight="1" x14ac:dyDescent="0.25">
      <c r="H1176" s="20"/>
    </row>
    <row r="1177" spans="8:8" ht="36" customHeight="1" x14ac:dyDescent="0.25">
      <c r="H1177" s="20"/>
    </row>
    <row r="1178" spans="8:8" ht="36" customHeight="1" x14ac:dyDescent="0.25">
      <c r="H1178" s="20"/>
    </row>
    <row r="1179" spans="8:8" ht="36" customHeight="1" x14ac:dyDescent="0.25">
      <c r="H1179" s="20"/>
    </row>
    <row r="1180" spans="8:8" ht="36" customHeight="1" x14ac:dyDescent="0.25">
      <c r="H1180" s="20"/>
    </row>
    <row r="1181" spans="8:8" ht="36" customHeight="1" x14ac:dyDescent="0.25">
      <c r="H1181" s="20"/>
    </row>
    <row r="1182" spans="8:8" ht="36" customHeight="1" x14ac:dyDescent="0.25">
      <c r="H1182" s="20"/>
    </row>
    <row r="1183" spans="8:8" ht="36" customHeight="1" x14ac:dyDescent="0.25">
      <c r="H1183" s="20"/>
    </row>
    <row r="1184" spans="8:8" ht="36" customHeight="1" x14ac:dyDescent="0.25">
      <c r="H1184" s="20"/>
    </row>
    <row r="1185" spans="8:8" ht="36" customHeight="1" x14ac:dyDescent="0.25">
      <c r="H1185" s="20"/>
    </row>
    <row r="1186" spans="8:8" ht="36" customHeight="1" x14ac:dyDescent="0.25">
      <c r="H1186" s="20"/>
    </row>
    <row r="1187" spans="8:8" ht="36" customHeight="1" x14ac:dyDescent="0.25">
      <c r="H1187" s="20"/>
    </row>
    <row r="1188" spans="8:8" ht="36" customHeight="1" x14ac:dyDescent="0.25">
      <c r="H1188" s="20"/>
    </row>
    <row r="1189" spans="8:8" ht="36" customHeight="1" x14ac:dyDescent="0.25">
      <c r="H1189" s="20"/>
    </row>
    <row r="1190" spans="8:8" ht="36" customHeight="1" x14ac:dyDescent="0.25">
      <c r="H1190" s="20"/>
    </row>
    <row r="1191" spans="8:8" ht="36" customHeight="1" x14ac:dyDescent="0.25">
      <c r="H1191" s="20"/>
    </row>
    <row r="1192" spans="8:8" ht="36" customHeight="1" x14ac:dyDescent="0.25">
      <c r="H1192" s="20"/>
    </row>
    <row r="1193" spans="8:8" ht="36" customHeight="1" x14ac:dyDescent="0.25">
      <c r="H1193" s="20"/>
    </row>
    <row r="1194" spans="8:8" ht="36" customHeight="1" x14ac:dyDescent="0.25">
      <c r="H1194" s="20"/>
    </row>
    <row r="1195" spans="8:8" ht="36" customHeight="1" x14ac:dyDescent="0.25">
      <c r="H1195" s="20"/>
    </row>
    <row r="1196" spans="8:8" ht="36" customHeight="1" x14ac:dyDescent="0.25">
      <c r="H1196" s="20"/>
    </row>
    <row r="1197" spans="8:8" ht="36" customHeight="1" x14ac:dyDescent="0.25">
      <c r="H1197" s="20"/>
    </row>
    <row r="1198" spans="8:8" ht="36" customHeight="1" x14ac:dyDescent="0.25">
      <c r="H1198" s="20"/>
    </row>
    <row r="1199" spans="8:8" ht="36" customHeight="1" x14ac:dyDescent="0.25">
      <c r="H1199" s="20"/>
    </row>
    <row r="1200" spans="8:8" ht="36" customHeight="1" x14ac:dyDescent="0.25">
      <c r="H1200" s="20"/>
    </row>
    <row r="1201" spans="8:8" ht="36" customHeight="1" x14ac:dyDescent="0.25">
      <c r="H1201" s="20"/>
    </row>
    <row r="1202" spans="8:8" ht="36" customHeight="1" x14ac:dyDescent="0.25">
      <c r="H1202" s="20"/>
    </row>
    <row r="1203" spans="8:8" ht="36" customHeight="1" x14ac:dyDescent="0.25">
      <c r="H1203" s="20"/>
    </row>
    <row r="1204" spans="8:8" ht="36" customHeight="1" x14ac:dyDescent="0.25">
      <c r="H1204" s="20"/>
    </row>
    <row r="1205" spans="8:8" ht="36" customHeight="1" x14ac:dyDescent="0.25">
      <c r="H1205" s="20"/>
    </row>
    <row r="1206" spans="8:8" ht="36" customHeight="1" x14ac:dyDescent="0.25">
      <c r="H1206" s="20"/>
    </row>
    <row r="1207" spans="8:8" ht="36" customHeight="1" x14ac:dyDescent="0.25">
      <c r="H1207" s="20"/>
    </row>
    <row r="1208" spans="8:8" ht="36" customHeight="1" x14ac:dyDescent="0.25">
      <c r="H1208" s="20"/>
    </row>
    <row r="1209" spans="8:8" ht="36" customHeight="1" x14ac:dyDescent="0.25">
      <c r="H1209" s="20"/>
    </row>
    <row r="1210" spans="8:8" ht="36" customHeight="1" x14ac:dyDescent="0.25">
      <c r="H1210" s="20"/>
    </row>
    <row r="1211" spans="8:8" ht="36" customHeight="1" x14ac:dyDescent="0.25">
      <c r="H1211" s="20"/>
    </row>
    <row r="1212" spans="8:8" ht="36" customHeight="1" x14ac:dyDescent="0.25">
      <c r="H1212" s="20"/>
    </row>
    <row r="1213" spans="8:8" ht="36" customHeight="1" x14ac:dyDescent="0.25">
      <c r="H1213" s="20"/>
    </row>
    <row r="1214" spans="8:8" ht="36" customHeight="1" x14ac:dyDescent="0.25">
      <c r="H1214" s="20"/>
    </row>
    <row r="1215" spans="8:8" ht="36" customHeight="1" x14ac:dyDescent="0.25">
      <c r="H1215" s="20"/>
    </row>
    <row r="1216" spans="8:8" ht="36" customHeight="1" x14ac:dyDescent="0.25">
      <c r="H1216" s="20"/>
    </row>
    <row r="1217" spans="8:8" ht="36" customHeight="1" x14ac:dyDescent="0.25">
      <c r="H1217" s="20"/>
    </row>
    <row r="1218" spans="8:8" ht="36" customHeight="1" x14ac:dyDescent="0.25">
      <c r="H1218" s="20"/>
    </row>
    <row r="1219" spans="8:8" ht="36" customHeight="1" x14ac:dyDescent="0.25">
      <c r="H1219" s="20"/>
    </row>
    <row r="1220" spans="8:8" ht="36" customHeight="1" x14ac:dyDescent="0.25">
      <c r="H1220" s="20"/>
    </row>
    <row r="1221" spans="8:8" ht="36" customHeight="1" x14ac:dyDescent="0.25">
      <c r="H1221" s="20"/>
    </row>
    <row r="1222" spans="8:8" ht="36" customHeight="1" x14ac:dyDescent="0.25">
      <c r="H1222" s="20"/>
    </row>
    <row r="1223" spans="8:8" ht="36" customHeight="1" x14ac:dyDescent="0.25">
      <c r="H1223" s="20"/>
    </row>
    <row r="1224" spans="8:8" ht="36" customHeight="1" x14ac:dyDescent="0.25">
      <c r="H1224" s="20"/>
    </row>
    <row r="1225" spans="8:8" ht="36" customHeight="1" x14ac:dyDescent="0.25">
      <c r="H1225" s="20"/>
    </row>
    <row r="1226" spans="8:8" ht="36" customHeight="1" x14ac:dyDescent="0.25">
      <c r="H1226" s="20"/>
    </row>
    <row r="1227" spans="8:8" ht="36" customHeight="1" x14ac:dyDescent="0.25">
      <c r="H1227" s="20"/>
    </row>
    <row r="1228" spans="8:8" ht="36" customHeight="1" x14ac:dyDescent="0.25">
      <c r="H1228" s="20"/>
    </row>
    <row r="1229" spans="8:8" ht="36" customHeight="1" x14ac:dyDescent="0.25">
      <c r="H1229" s="20"/>
    </row>
    <row r="1230" spans="8:8" ht="36" customHeight="1" x14ac:dyDescent="0.25">
      <c r="H1230" s="20"/>
    </row>
    <row r="1231" spans="8:8" ht="36" customHeight="1" x14ac:dyDescent="0.25">
      <c r="H1231" s="20"/>
    </row>
    <row r="1232" spans="8:8" ht="36" customHeight="1" x14ac:dyDescent="0.25">
      <c r="H1232" s="20"/>
    </row>
    <row r="1233" spans="8:8" ht="36" customHeight="1" x14ac:dyDescent="0.25">
      <c r="H1233" s="20"/>
    </row>
    <row r="1234" spans="8:8" ht="36" customHeight="1" x14ac:dyDescent="0.25">
      <c r="H1234" s="20"/>
    </row>
    <row r="1235" spans="8:8" ht="36" customHeight="1" x14ac:dyDescent="0.25">
      <c r="H1235" s="20"/>
    </row>
    <row r="1236" spans="8:8" ht="36" customHeight="1" x14ac:dyDescent="0.25">
      <c r="H1236" s="20"/>
    </row>
    <row r="1237" spans="8:8" ht="36" customHeight="1" x14ac:dyDescent="0.25">
      <c r="H1237" s="20"/>
    </row>
    <row r="1238" spans="8:8" ht="36" customHeight="1" x14ac:dyDescent="0.25">
      <c r="H1238" s="20"/>
    </row>
    <row r="1239" spans="8:8" ht="36" customHeight="1" x14ac:dyDescent="0.25">
      <c r="H1239" s="20"/>
    </row>
    <row r="1240" spans="8:8" ht="36" customHeight="1" x14ac:dyDescent="0.25">
      <c r="H1240" s="20"/>
    </row>
    <row r="1241" spans="8:8" ht="36" customHeight="1" x14ac:dyDescent="0.25">
      <c r="H1241" s="20"/>
    </row>
    <row r="1242" spans="8:8" ht="36" customHeight="1" x14ac:dyDescent="0.25">
      <c r="H1242" s="20"/>
    </row>
    <row r="1243" spans="8:8" ht="36" customHeight="1" x14ac:dyDescent="0.25">
      <c r="H1243" s="20"/>
    </row>
    <row r="1244" spans="8:8" ht="36" customHeight="1" x14ac:dyDescent="0.25">
      <c r="H1244" s="20"/>
    </row>
    <row r="1245" spans="8:8" ht="36" customHeight="1" x14ac:dyDescent="0.25">
      <c r="H1245" s="20"/>
    </row>
    <row r="1246" spans="8:8" ht="36" customHeight="1" x14ac:dyDescent="0.25">
      <c r="H1246" s="20"/>
    </row>
    <row r="1247" spans="8:8" ht="36" customHeight="1" x14ac:dyDescent="0.25">
      <c r="H1247" s="20"/>
    </row>
    <row r="1248" spans="8:8" ht="36" customHeight="1" x14ac:dyDescent="0.25">
      <c r="H1248" s="20"/>
    </row>
    <row r="1249" spans="8:8" ht="36" customHeight="1" x14ac:dyDescent="0.25">
      <c r="H1249" s="20"/>
    </row>
    <row r="1250" spans="8:8" ht="36" customHeight="1" x14ac:dyDescent="0.25">
      <c r="H1250" s="20"/>
    </row>
    <row r="1251" spans="8:8" ht="36" customHeight="1" x14ac:dyDescent="0.25">
      <c r="H1251" s="20"/>
    </row>
    <row r="1252" spans="8:8" ht="36" customHeight="1" x14ac:dyDescent="0.25">
      <c r="H1252" s="20"/>
    </row>
    <row r="1253" spans="8:8" ht="36" customHeight="1" x14ac:dyDescent="0.25">
      <c r="H1253" s="20"/>
    </row>
    <row r="1254" spans="8:8" ht="36" customHeight="1" x14ac:dyDescent="0.25">
      <c r="H1254" s="20"/>
    </row>
    <row r="1255" spans="8:8" ht="36" customHeight="1" x14ac:dyDescent="0.25">
      <c r="H1255" s="20"/>
    </row>
    <row r="1256" spans="8:8" ht="36" customHeight="1" x14ac:dyDescent="0.25">
      <c r="H1256" s="20"/>
    </row>
    <row r="1257" spans="8:8" ht="36" customHeight="1" x14ac:dyDescent="0.25">
      <c r="H1257" s="20"/>
    </row>
    <row r="1258" spans="8:8" ht="36" customHeight="1" x14ac:dyDescent="0.25">
      <c r="H1258" s="20"/>
    </row>
    <row r="1259" spans="8:8" ht="36" customHeight="1" x14ac:dyDescent="0.25">
      <c r="H1259" s="20"/>
    </row>
    <row r="1260" spans="8:8" ht="36" customHeight="1" x14ac:dyDescent="0.25">
      <c r="H1260" s="20"/>
    </row>
    <row r="1261" spans="8:8" ht="36" customHeight="1" x14ac:dyDescent="0.25">
      <c r="H1261" s="20"/>
    </row>
    <row r="1262" spans="8:8" ht="36" customHeight="1" x14ac:dyDescent="0.25">
      <c r="H1262" s="20"/>
    </row>
    <row r="1263" spans="8:8" ht="36" customHeight="1" x14ac:dyDescent="0.25">
      <c r="H1263" s="20"/>
    </row>
    <row r="1264" spans="8:8" ht="36" customHeight="1" x14ac:dyDescent="0.25">
      <c r="H1264" s="20"/>
    </row>
    <row r="1265" spans="8:8" ht="36" customHeight="1" x14ac:dyDescent="0.25">
      <c r="H1265" s="20"/>
    </row>
    <row r="1266" spans="8:8" ht="36" customHeight="1" x14ac:dyDescent="0.25">
      <c r="H1266" s="20"/>
    </row>
    <row r="1267" spans="8:8" ht="36" customHeight="1" x14ac:dyDescent="0.25">
      <c r="H1267" s="20"/>
    </row>
    <row r="1268" spans="8:8" ht="36" customHeight="1" x14ac:dyDescent="0.25">
      <c r="H1268" s="20"/>
    </row>
    <row r="1269" spans="8:8" ht="36" customHeight="1" x14ac:dyDescent="0.25">
      <c r="H1269" s="20"/>
    </row>
    <row r="1270" spans="8:8" ht="36" customHeight="1" x14ac:dyDescent="0.25">
      <c r="H1270" s="20"/>
    </row>
    <row r="1271" spans="8:8" ht="36" customHeight="1" x14ac:dyDescent="0.25">
      <c r="H1271" s="20"/>
    </row>
    <row r="1272" spans="8:8" ht="36" customHeight="1" x14ac:dyDescent="0.25">
      <c r="H1272" s="20"/>
    </row>
    <row r="1273" spans="8:8" ht="36" customHeight="1" x14ac:dyDescent="0.25">
      <c r="H1273" s="20"/>
    </row>
    <row r="1274" spans="8:8" ht="36" customHeight="1" x14ac:dyDescent="0.25">
      <c r="H1274" s="20"/>
    </row>
    <row r="1275" spans="8:8" ht="36" customHeight="1" x14ac:dyDescent="0.25">
      <c r="H1275" s="20"/>
    </row>
    <row r="1276" spans="8:8" ht="36" customHeight="1" x14ac:dyDescent="0.25">
      <c r="H1276" s="20"/>
    </row>
    <row r="1277" spans="8:8" ht="36" customHeight="1" x14ac:dyDescent="0.25">
      <c r="H1277" s="20"/>
    </row>
    <row r="1278" spans="8:8" ht="36" customHeight="1" x14ac:dyDescent="0.25">
      <c r="H1278" s="20"/>
    </row>
    <row r="1279" spans="8:8" ht="36" customHeight="1" x14ac:dyDescent="0.25">
      <c r="H1279" s="20"/>
    </row>
    <row r="1280" spans="8:8" ht="36" customHeight="1" x14ac:dyDescent="0.25">
      <c r="H1280" s="20"/>
    </row>
    <row r="1281" spans="8:8" ht="36" customHeight="1" x14ac:dyDescent="0.25">
      <c r="H1281" s="20"/>
    </row>
    <row r="1282" spans="8:8" ht="36" customHeight="1" x14ac:dyDescent="0.25">
      <c r="H1282" s="20"/>
    </row>
    <row r="1283" spans="8:8" ht="36" customHeight="1" x14ac:dyDescent="0.25">
      <c r="H1283" s="20"/>
    </row>
    <row r="1284" spans="8:8" ht="36" customHeight="1" x14ac:dyDescent="0.25">
      <c r="H1284" s="20"/>
    </row>
    <row r="1285" spans="8:8" ht="36" customHeight="1" x14ac:dyDescent="0.25">
      <c r="H1285" s="20"/>
    </row>
    <row r="1286" spans="8:8" ht="36" customHeight="1" x14ac:dyDescent="0.25">
      <c r="H1286" s="20"/>
    </row>
    <row r="1287" spans="8:8" ht="36" customHeight="1" x14ac:dyDescent="0.25">
      <c r="H1287" s="20"/>
    </row>
    <row r="1288" spans="8:8" ht="36" customHeight="1" x14ac:dyDescent="0.25">
      <c r="H1288" s="20"/>
    </row>
    <row r="1289" spans="8:8" ht="36" customHeight="1" x14ac:dyDescent="0.25">
      <c r="H1289" s="20"/>
    </row>
    <row r="1290" spans="8:8" ht="36" customHeight="1" x14ac:dyDescent="0.25">
      <c r="H1290" s="20"/>
    </row>
    <row r="1291" spans="8:8" ht="36" customHeight="1" x14ac:dyDescent="0.25">
      <c r="H1291" s="20"/>
    </row>
    <row r="1292" spans="8:8" ht="36" customHeight="1" x14ac:dyDescent="0.25">
      <c r="H1292" s="20"/>
    </row>
    <row r="1293" spans="8:8" ht="36" customHeight="1" x14ac:dyDescent="0.25">
      <c r="H1293" s="20"/>
    </row>
    <row r="1294" spans="8:8" ht="36" customHeight="1" x14ac:dyDescent="0.25">
      <c r="H1294" s="20"/>
    </row>
    <row r="1295" spans="8:8" ht="36" customHeight="1" x14ac:dyDescent="0.25">
      <c r="H1295" s="20"/>
    </row>
    <row r="1296" spans="8:8" ht="36" customHeight="1" x14ac:dyDescent="0.25">
      <c r="H1296" s="20"/>
    </row>
    <row r="1297" spans="8:8" ht="36" customHeight="1" x14ac:dyDescent="0.25">
      <c r="H1297" s="20"/>
    </row>
    <row r="1298" spans="8:8" ht="36" customHeight="1" x14ac:dyDescent="0.25">
      <c r="H1298" s="20"/>
    </row>
    <row r="1299" spans="8:8" ht="36" customHeight="1" x14ac:dyDescent="0.25">
      <c r="H1299" s="20"/>
    </row>
    <row r="1300" spans="8:8" ht="36" customHeight="1" x14ac:dyDescent="0.25">
      <c r="H1300" s="20"/>
    </row>
    <row r="1301" spans="8:8" ht="36" customHeight="1" x14ac:dyDescent="0.25">
      <c r="H1301" s="20"/>
    </row>
    <row r="1302" spans="8:8" ht="36" customHeight="1" x14ac:dyDescent="0.25">
      <c r="H1302" s="20"/>
    </row>
    <row r="1303" spans="8:8" ht="36" customHeight="1" x14ac:dyDescent="0.25">
      <c r="H1303" s="20"/>
    </row>
    <row r="1304" spans="8:8" ht="36" customHeight="1" x14ac:dyDescent="0.25">
      <c r="H1304" s="20"/>
    </row>
    <row r="1305" spans="8:8" ht="36" customHeight="1" x14ac:dyDescent="0.25">
      <c r="H1305" s="20"/>
    </row>
    <row r="1306" spans="8:8" ht="36" customHeight="1" x14ac:dyDescent="0.25">
      <c r="H1306" s="20"/>
    </row>
    <row r="1307" spans="8:8" ht="36" customHeight="1" x14ac:dyDescent="0.25">
      <c r="H1307" s="20"/>
    </row>
    <row r="1308" spans="8:8" ht="36" customHeight="1" x14ac:dyDescent="0.25">
      <c r="H1308" s="20"/>
    </row>
    <row r="1309" spans="8:8" ht="36" customHeight="1" x14ac:dyDescent="0.25">
      <c r="H1309" s="20"/>
    </row>
    <row r="1310" spans="8:8" ht="36" customHeight="1" x14ac:dyDescent="0.25">
      <c r="H1310" s="20"/>
    </row>
    <row r="1311" spans="8:8" ht="36" customHeight="1" x14ac:dyDescent="0.25">
      <c r="H1311" s="20"/>
    </row>
    <row r="1312" spans="8:8" ht="36" customHeight="1" x14ac:dyDescent="0.25">
      <c r="H1312" s="20"/>
    </row>
    <row r="1313" spans="8:8" ht="36" customHeight="1" x14ac:dyDescent="0.25">
      <c r="H1313" s="20"/>
    </row>
    <row r="1314" spans="8:8" ht="36" customHeight="1" x14ac:dyDescent="0.25">
      <c r="H1314" s="20"/>
    </row>
    <row r="1315" spans="8:8" ht="36" customHeight="1" x14ac:dyDescent="0.25">
      <c r="H1315" s="20"/>
    </row>
    <row r="1316" spans="8:8" ht="36" customHeight="1" x14ac:dyDescent="0.25">
      <c r="H1316" s="20"/>
    </row>
    <row r="1317" spans="8:8" ht="36" customHeight="1" x14ac:dyDescent="0.25">
      <c r="H1317" s="20"/>
    </row>
    <row r="1318" spans="8:8" ht="36" customHeight="1" x14ac:dyDescent="0.25">
      <c r="H1318" s="20"/>
    </row>
    <row r="1319" spans="8:8" ht="36" customHeight="1" x14ac:dyDescent="0.25">
      <c r="H1319" s="20"/>
    </row>
    <row r="1320" spans="8:8" ht="36" customHeight="1" x14ac:dyDescent="0.25">
      <c r="H1320" s="20"/>
    </row>
    <row r="1321" spans="8:8" ht="36" customHeight="1" x14ac:dyDescent="0.25">
      <c r="H1321" s="20"/>
    </row>
    <row r="1322" spans="8:8" ht="36" customHeight="1" x14ac:dyDescent="0.25">
      <c r="H1322" s="20"/>
    </row>
    <row r="1323" spans="8:8" ht="36" customHeight="1" x14ac:dyDescent="0.25">
      <c r="H1323" s="20"/>
    </row>
    <row r="1324" spans="8:8" ht="36" customHeight="1" x14ac:dyDescent="0.25">
      <c r="H1324" s="20"/>
    </row>
    <row r="1325" spans="8:8" ht="36" customHeight="1" x14ac:dyDescent="0.25">
      <c r="H1325" s="20"/>
    </row>
    <row r="1326" spans="8:8" ht="36" customHeight="1" x14ac:dyDescent="0.25">
      <c r="H1326" s="20"/>
    </row>
    <row r="1327" spans="8:8" ht="36" customHeight="1" x14ac:dyDescent="0.25">
      <c r="H1327" s="20"/>
    </row>
    <row r="1328" spans="8:8" ht="36" customHeight="1" x14ac:dyDescent="0.25">
      <c r="H1328" s="20"/>
    </row>
    <row r="1329" spans="8:8" ht="36" customHeight="1" x14ac:dyDescent="0.25">
      <c r="H1329" s="20"/>
    </row>
    <row r="1330" spans="8:8" ht="36" customHeight="1" x14ac:dyDescent="0.25">
      <c r="H1330" s="20"/>
    </row>
    <row r="1331" spans="8:8" ht="36" customHeight="1" x14ac:dyDescent="0.25">
      <c r="H1331" s="20"/>
    </row>
    <row r="1332" spans="8:8" ht="36" customHeight="1" x14ac:dyDescent="0.25">
      <c r="H1332" s="20"/>
    </row>
    <row r="1333" spans="8:8" ht="36" customHeight="1" x14ac:dyDescent="0.25">
      <c r="H1333" s="20"/>
    </row>
    <row r="1334" spans="8:8" ht="36" customHeight="1" x14ac:dyDescent="0.25">
      <c r="H1334" s="20"/>
    </row>
    <row r="1335" spans="8:8" ht="36" customHeight="1" x14ac:dyDescent="0.25">
      <c r="H1335" s="20"/>
    </row>
    <row r="1336" spans="8:8" ht="36" customHeight="1" x14ac:dyDescent="0.25">
      <c r="H1336" s="20"/>
    </row>
    <row r="1337" spans="8:8" ht="36" customHeight="1" x14ac:dyDescent="0.25">
      <c r="H1337" s="20"/>
    </row>
    <row r="1338" spans="8:8" ht="36" customHeight="1" x14ac:dyDescent="0.25">
      <c r="H1338" s="20"/>
    </row>
    <row r="1339" spans="8:8" ht="36" customHeight="1" x14ac:dyDescent="0.25">
      <c r="H1339" s="20"/>
    </row>
    <row r="1340" spans="8:8" ht="36" customHeight="1" x14ac:dyDescent="0.25">
      <c r="H1340" s="20"/>
    </row>
    <row r="1341" spans="8:8" ht="36" customHeight="1" x14ac:dyDescent="0.25">
      <c r="H1341" s="20"/>
    </row>
    <row r="1342" spans="8:8" ht="36" customHeight="1" x14ac:dyDescent="0.25">
      <c r="H1342" s="20"/>
    </row>
    <row r="1343" spans="8:8" ht="36" customHeight="1" x14ac:dyDescent="0.25">
      <c r="H1343" s="20"/>
    </row>
    <row r="1344" spans="8:8" ht="36" customHeight="1" x14ac:dyDescent="0.25">
      <c r="H1344" s="20"/>
    </row>
    <row r="1345" spans="8:8" ht="36" customHeight="1" x14ac:dyDescent="0.25">
      <c r="H1345" s="20"/>
    </row>
    <row r="1346" spans="8:8" ht="36" customHeight="1" x14ac:dyDescent="0.25">
      <c r="H1346" s="20"/>
    </row>
    <row r="1347" spans="8:8" ht="36" customHeight="1" x14ac:dyDescent="0.25">
      <c r="H1347" s="20"/>
    </row>
    <row r="1348" spans="8:8" ht="36" customHeight="1" x14ac:dyDescent="0.25">
      <c r="H1348" s="20"/>
    </row>
    <row r="1349" spans="8:8" ht="36" customHeight="1" x14ac:dyDescent="0.25">
      <c r="H1349" s="20"/>
    </row>
    <row r="1350" spans="8:8" ht="36" customHeight="1" x14ac:dyDescent="0.25">
      <c r="H1350" s="20"/>
    </row>
    <row r="1351" spans="8:8" ht="36" customHeight="1" x14ac:dyDescent="0.25">
      <c r="H1351" s="20"/>
    </row>
    <row r="1352" spans="8:8" ht="36" customHeight="1" x14ac:dyDescent="0.25">
      <c r="H1352" s="20"/>
    </row>
    <row r="1353" spans="8:8" ht="36" customHeight="1" x14ac:dyDescent="0.25">
      <c r="H1353" s="20"/>
    </row>
    <row r="1354" spans="8:8" ht="36" customHeight="1" x14ac:dyDescent="0.25">
      <c r="H1354" s="20"/>
    </row>
    <row r="1355" spans="8:8" ht="36" customHeight="1" x14ac:dyDescent="0.25">
      <c r="H1355" s="20"/>
    </row>
    <row r="1356" spans="8:8" ht="36" customHeight="1" x14ac:dyDescent="0.25">
      <c r="H1356" s="20"/>
    </row>
    <row r="1357" spans="8:8" ht="36" customHeight="1" x14ac:dyDescent="0.25">
      <c r="H1357" s="20"/>
    </row>
    <row r="1358" spans="8:8" ht="36" customHeight="1" x14ac:dyDescent="0.25">
      <c r="H1358" s="20"/>
    </row>
    <row r="1359" spans="8:8" ht="36" customHeight="1" x14ac:dyDescent="0.25">
      <c r="H1359" s="20"/>
    </row>
    <row r="1360" spans="8:8" ht="36" customHeight="1" x14ac:dyDescent="0.25">
      <c r="H1360" s="20"/>
    </row>
    <row r="1361" spans="8:8" ht="36" customHeight="1" x14ac:dyDescent="0.25">
      <c r="H1361" s="20"/>
    </row>
    <row r="1362" spans="8:8" ht="36" customHeight="1" x14ac:dyDescent="0.25">
      <c r="H1362" s="20"/>
    </row>
    <row r="1363" spans="8:8" ht="36" customHeight="1" x14ac:dyDescent="0.25">
      <c r="H1363" s="20"/>
    </row>
    <row r="1364" spans="8:8" ht="36" customHeight="1" x14ac:dyDescent="0.25">
      <c r="H1364" s="20"/>
    </row>
    <row r="1365" spans="8:8" ht="36" customHeight="1" x14ac:dyDescent="0.25">
      <c r="H1365" s="20"/>
    </row>
    <row r="1366" spans="8:8" ht="36" customHeight="1" x14ac:dyDescent="0.25">
      <c r="H1366" s="20"/>
    </row>
    <row r="1367" spans="8:8" ht="36" customHeight="1" x14ac:dyDescent="0.25">
      <c r="H1367" s="20"/>
    </row>
    <row r="1368" spans="8:8" ht="36" customHeight="1" x14ac:dyDescent="0.25">
      <c r="H1368" s="20"/>
    </row>
    <row r="1369" spans="8:8" ht="36" customHeight="1" x14ac:dyDescent="0.25">
      <c r="H1369" s="20"/>
    </row>
    <row r="1370" spans="8:8" ht="36" customHeight="1" x14ac:dyDescent="0.25">
      <c r="H1370" s="20"/>
    </row>
    <row r="1371" spans="8:8" ht="36" customHeight="1" x14ac:dyDescent="0.25">
      <c r="H1371" s="20"/>
    </row>
    <row r="1372" spans="8:8" ht="36" customHeight="1" x14ac:dyDescent="0.25">
      <c r="H1372" s="20"/>
    </row>
    <row r="1373" spans="8:8" ht="36" customHeight="1" x14ac:dyDescent="0.25">
      <c r="H1373" s="20"/>
    </row>
    <row r="1374" spans="8:8" ht="36" customHeight="1" x14ac:dyDescent="0.25">
      <c r="H1374" s="20"/>
    </row>
    <row r="1375" spans="8:8" ht="36" customHeight="1" x14ac:dyDescent="0.25">
      <c r="H1375" s="20"/>
    </row>
    <row r="1376" spans="8:8" ht="36" customHeight="1" x14ac:dyDescent="0.25">
      <c r="H1376" s="20"/>
    </row>
    <row r="1377" spans="8:8" ht="36" customHeight="1" x14ac:dyDescent="0.25">
      <c r="H1377" s="20"/>
    </row>
    <row r="1378" spans="8:8" ht="36" customHeight="1" x14ac:dyDescent="0.25">
      <c r="H1378" s="20"/>
    </row>
    <row r="1379" spans="8:8" ht="36" customHeight="1" x14ac:dyDescent="0.25">
      <c r="H1379" s="20"/>
    </row>
    <row r="1380" spans="8:8" ht="36" customHeight="1" x14ac:dyDescent="0.25">
      <c r="H1380" s="20"/>
    </row>
    <row r="1381" spans="8:8" ht="36" customHeight="1" x14ac:dyDescent="0.25">
      <c r="H1381" s="20"/>
    </row>
    <row r="1382" spans="8:8" ht="36" customHeight="1" x14ac:dyDescent="0.25">
      <c r="H1382" s="20"/>
    </row>
    <row r="1383" spans="8:8" ht="36" customHeight="1" x14ac:dyDescent="0.25">
      <c r="H1383" s="20"/>
    </row>
    <row r="1384" spans="8:8" ht="36" customHeight="1" x14ac:dyDescent="0.25">
      <c r="H1384" s="20"/>
    </row>
    <row r="1385" spans="8:8" ht="36" customHeight="1" x14ac:dyDescent="0.25">
      <c r="H1385" s="20"/>
    </row>
    <row r="1386" spans="8:8" ht="36" customHeight="1" x14ac:dyDescent="0.25">
      <c r="H1386" s="20"/>
    </row>
    <row r="1387" spans="8:8" ht="36" customHeight="1" x14ac:dyDescent="0.25">
      <c r="H1387" s="20"/>
    </row>
    <row r="1388" spans="8:8" ht="36" customHeight="1" x14ac:dyDescent="0.25">
      <c r="H1388" s="20"/>
    </row>
    <row r="1389" spans="8:8" ht="36" customHeight="1" x14ac:dyDescent="0.25">
      <c r="H1389" s="20"/>
    </row>
    <row r="1390" spans="8:8" ht="36" customHeight="1" x14ac:dyDescent="0.25">
      <c r="H1390" s="20"/>
    </row>
    <row r="1391" spans="8:8" ht="36" customHeight="1" x14ac:dyDescent="0.25">
      <c r="H1391" s="20"/>
    </row>
    <row r="1392" spans="8:8" ht="36" customHeight="1" x14ac:dyDescent="0.25">
      <c r="H1392" s="20"/>
    </row>
    <row r="1393" spans="8:8" ht="36" customHeight="1" x14ac:dyDescent="0.25">
      <c r="H1393" s="20"/>
    </row>
    <row r="1394" spans="8:8" ht="36" customHeight="1" x14ac:dyDescent="0.25">
      <c r="H1394" s="20"/>
    </row>
    <row r="1395" spans="8:8" ht="36" customHeight="1" x14ac:dyDescent="0.25">
      <c r="H1395" s="20"/>
    </row>
    <row r="1396" spans="8:8" ht="36" customHeight="1" x14ac:dyDescent="0.25">
      <c r="H1396" s="20"/>
    </row>
    <row r="1397" spans="8:8" ht="36" customHeight="1" x14ac:dyDescent="0.25">
      <c r="H1397" s="20"/>
    </row>
    <row r="1398" spans="8:8" ht="36" customHeight="1" x14ac:dyDescent="0.25">
      <c r="H1398" s="20"/>
    </row>
    <row r="1399" spans="8:8" ht="36" customHeight="1" x14ac:dyDescent="0.25">
      <c r="H1399" s="20"/>
    </row>
    <row r="1400" spans="8:8" ht="36" customHeight="1" x14ac:dyDescent="0.25">
      <c r="H1400" s="20"/>
    </row>
    <row r="1401" spans="8:8" ht="36" customHeight="1" x14ac:dyDescent="0.25">
      <c r="H1401" s="20"/>
    </row>
    <row r="1402" spans="8:8" ht="36" customHeight="1" x14ac:dyDescent="0.25">
      <c r="H1402" s="20"/>
    </row>
    <row r="1403" spans="8:8" ht="36" customHeight="1" x14ac:dyDescent="0.25">
      <c r="H1403" s="20"/>
    </row>
    <row r="1404" spans="8:8" ht="36" customHeight="1" x14ac:dyDescent="0.25">
      <c r="H1404" s="20"/>
    </row>
    <row r="1405" spans="8:8" ht="36" customHeight="1" x14ac:dyDescent="0.25">
      <c r="H1405" s="20"/>
    </row>
    <row r="1406" spans="8:8" ht="36" customHeight="1" x14ac:dyDescent="0.25">
      <c r="H1406" s="20"/>
    </row>
    <row r="1407" spans="8:8" ht="36" customHeight="1" x14ac:dyDescent="0.25">
      <c r="H1407" s="20"/>
    </row>
    <row r="1408" spans="8:8" ht="36" customHeight="1" x14ac:dyDescent="0.25">
      <c r="H1408" s="20"/>
    </row>
    <row r="1409" spans="8:8" ht="36" customHeight="1" x14ac:dyDescent="0.25">
      <c r="H1409" s="20"/>
    </row>
    <row r="1410" spans="8:8" ht="36" customHeight="1" x14ac:dyDescent="0.25">
      <c r="H1410" s="20"/>
    </row>
    <row r="1411" spans="8:8" ht="36" customHeight="1" x14ac:dyDescent="0.25">
      <c r="H1411" s="20"/>
    </row>
    <row r="1412" spans="8:8" ht="36" customHeight="1" x14ac:dyDescent="0.25">
      <c r="H1412" s="20"/>
    </row>
    <row r="1413" spans="8:8" ht="36" customHeight="1" x14ac:dyDescent="0.25">
      <c r="H1413" s="20"/>
    </row>
    <row r="1414" spans="8:8" ht="36" customHeight="1" x14ac:dyDescent="0.25">
      <c r="H1414" s="20"/>
    </row>
    <row r="1415" spans="8:8" ht="36" customHeight="1" x14ac:dyDescent="0.25">
      <c r="H1415" s="20"/>
    </row>
    <row r="1416" spans="8:8" ht="36" customHeight="1" x14ac:dyDescent="0.25">
      <c r="H1416" s="20"/>
    </row>
    <row r="1417" spans="8:8" ht="36" customHeight="1" x14ac:dyDescent="0.25">
      <c r="H1417" s="20"/>
    </row>
    <row r="1418" spans="8:8" ht="36" customHeight="1" x14ac:dyDescent="0.25">
      <c r="H1418" s="20"/>
    </row>
    <row r="1419" spans="8:8" ht="36" customHeight="1" x14ac:dyDescent="0.25">
      <c r="H1419" s="20"/>
    </row>
    <row r="1420" spans="8:8" ht="36" customHeight="1" x14ac:dyDescent="0.25">
      <c r="H1420" s="20"/>
    </row>
    <row r="1421" spans="8:8" ht="36" customHeight="1" x14ac:dyDescent="0.25">
      <c r="H1421" s="20"/>
    </row>
    <row r="1422" spans="8:8" ht="36" customHeight="1" x14ac:dyDescent="0.25">
      <c r="H1422" s="20"/>
    </row>
    <row r="1423" spans="8:8" ht="36" customHeight="1" x14ac:dyDescent="0.25">
      <c r="H1423" s="20"/>
    </row>
    <row r="1424" spans="8:8" ht="36" customHeight="1" x14ac:dyDescent="0.25">
      <c r="H1424" s="20"/>
    </row>
    <row r="1425" spans="8:8" ht="36" customHeight="1" x14ac:dyDescent="0.25">
      <c r="H1425" s="20"/>
    </row>
    <row r="1426" spans="8:8" ht="36" customHeight="1" x14ac:dyDescent="0.25">
      <c r="H1426" s="20"/>
    </row>
    <row r="1427" spans="8:8" ht="36" customHeight="1" x14ac:dyDescent="0.25">
      <c r="H1427" s="20"/>
    </row>
    <row r="1428" spans="8:8" ht="36" customHeight="1" x14ac:dyDescent="0.25">
      <c r="H1428" s="20"/>
    </row>
    <row r="1429" spans="8:8" ht="36" customHeight="1" x14ac:dyDescent="0.25">
      <c r="H1429" s="20"/>
    </row>
    <row r="1430" spans="8:8" ht="36" customHeight="1" x14ac:dyDescent="0.25">
      <c r="H1430" s="20"/>
    </row>
    <row r="1431" spans="8:8" ht="36" customHeight="1" x14ac:dyDescent="0.25">
      <c r="H1431" s="20"/>
    </row>
    <row r="1432" spans="8:8" ht="36" customHeight="1" x14ac:dyDescent="0.25">
      <c r="H1432" s="20"/>
    </row>
    <row r="1433" spans="8:8" ht="36" customHeight="1" x14ac:dyDescent="0.25">
      <c r="H1433" s="20"/>
    </row>
    <row r="1434" spans="8:8" ht="36" customHeight="1" x14ac:dyDescent="0.25">
      <c r="H1434" s="20"/>
    </row>
    <row r="1435" spans="8:8" ht="36" customHeight="1" x14ac:dyDescent="0.25">
      <c r="H1435" s="20"/>
    </row>
    <row r="1436" spans="8:8" ht="36" customHeight="1" x14ac:dyDescent="0.25">
      <c r="H1436" s="20"/>
    </row>
    <row r="1437" spans="8:8" ht="36" customHeight="1" x14ac:dyDescent="0.25">
      <c r="H1437" s="20"/>
    </row>
    <row r="1438" spans="8:8" ht="36" customHeight="1" x14ac:dyDescent="0.25">
      <c r="H1438" s="20"/>
    </row>
    <row r="1439" spans="8:8" ht="36" customHeight="1" x14ac:dyDescent="0.25">
      <c r="H1439" s="20"/>
    </row>
    <row r="1440" spans="8:8" ht="36" customHeight="1" x14ac:dyDescent="0.25">
      <c r="H1440" s="20"/>
    </row>
    <row r="1441" spans="8:8" ht="36" customHeight="1" x14ac:dyDescent="0.25">
      <c r="H1441" s="20"/>
    </row>
    <row r="1442" spans="8:8" ht="36" customHeight="1" x14ac:dyDescent="0.25">
      <c r="H1442" s="20"/>
    </row>
    <row r="1443" spans="8:8" ht="36" customHeight="1" x14ac:dyDescent="0.25">
      <c r="H1443" s="20"/>
    </row>
    <row r="1444" spans="8:8" ht="36" customHeight="1" x14ac:dyDescent="0.25">
      <c r="H1444" s="20"/>
    </row>
    <row r="1445" spans="8:8" ht="36" customHeight="1" x14ac:dyDescent="0.25">
      <c r="H1445" s="20"/>
    </row>
    <row r="1446" spans="8:8" ht="36" customHeight="1" x14ac:dyDescent="0.25">
      <c r="H1446" s="20"/>
    </row>
    <row r="1447" spans="8:8" ht="36" customHeight="1" x14ac:dyDescent="0.25">
      <c r="H1447" s="20"/>
    </row>
    <row r="1448" spans="8:8" ht="36" customHeight="1" x14ac:dyDescent="0.25">
      <c r="H1448" s="20"/>
    </row>
    <row r="1449" spans="8:8" ht="36" customHeight="1" x14ac:dyDescent="0.25">
      <c r="H1449" s="20"/>
    </row>
    <row r="1450" spans="8:8" ht="36" customHeight="1" x14ac:dyDescent="0.25">
      <c r="H1450" s="20"/>
    </row>
    <row r="1451" spans="8:8" ht="36" customHeight="1" x14ac:dyDescent="0.25">
      <c r="H1451" s="20"/>
    </row>
    <row r="1452" spans="8:8" ht="36" customHeight="1" x14ac:dyDescent="0.25">
      <c r="H1452" s="20"/>
    </row>
    <row r="1453" spans="8:8" ht="36" customHeight="1" x14ac:dyDescent="0.25">
      <c r="H1453" s="20"/>
    </row>
    <row r="1454" spans="8:8" ht="36" customHeight="1" x14ac:dyDescent="0.25">
      <c r="H1454" s="20"/>
    </row>
    <row r="1455" spans="8:8" ht="36" customHeight="1" x14ac:dyDescent="0.25">
      <c r="H1455" s="20"/>
    </row>
    <row r="1456" spans="8:8" ht="36" customHeight="1" x14ac:dyDescent="0.25">
      <c r="H1456" s="20"/>
    </row>
    <row r="1457" spans="8:8" ht="36" customHeight="1" x14ac:dyDescent="0.25">
      <c r="H1457" s="20"/>
    </row>
    <row r="1458" spans="8:8" ht="36" customHeight="1" x14ac:dyDescent="0.25">
      <c r="H1458" s="20"/>
    </row>
    <row r="1459" spans="8:8" ht="36" customHeight="1" x14ac:dyDescent="0.25">
      <c r="H1459" s="20"/>
    </row>
    <row r="1460" spans="8:8" ht="36" customHeight="1" x14ac:dyDescent="0.25">
      <c r="H1460" s="20"/>
    </row>
    <row r="1461" spans="8:8" ht="36" customHeight="1" x14ac:dyDescent="0.25">
      <c r="H1461" s="20"/>
    </row>
    <row r="1462" spans="8:8" ht="36" customHeight="1" x14ac:dyDescent="0.25">
      <c r="H1462" s="20"/>
    </row>
    <row r="1463" spans="8:8" ht="36" customHeight="1" x14ac:dyDescent="0.25">
      <c r="H1463" s="20"/>
    </row>
    <row r="1464" spans="8:8" ht="36" customHeight="1" x14ac:dyDescent="0.25">
      <c r="H1464" s="20"/>
    </row>
    <row r="1465" spans="8:8" ht="36" customHeight="1" x14ac:dyDescent="0.25">
      <c r="H1465" s="20"/>
    </row>
    <row r="1466" spans="8:8" ht="36" customHeight="1" x14ac:dyDescent="0.25">
      <c r="H1466" s="20"/>
    </row>
    <row r="1467" spans="8:8" ht="36" customHeight="1" x14ac:dyDescent="0.25">
      <c r="H1467" s="20"/>
    </row>
    <row r="1468" spans="8:8" ht="36" customHeight="1" x14ac:dyDescent="0.25">
      <c r="H1468" s="20"/>
    </row>
    <row r="1469" spans="8:8" ht="36" customHeight="1" x14ac:dyDescent="0.25">
      <c r="H1469" s="20"/>
    </row>
    <row r="1470" spans="8:8" ht="36" customHeight="1" x14ac:dyDescent="0.25">
      <c r="H1470" s="20"/>
    </row>
    <row r="1471" spans="8:8" ht="36" customHeight="1" x14ac:dyDescent="0.25">
      <c r="H1471" s="20"/>
    </row>
    <row r="1472" spans="8:8" ht="36" customHeight="1" x14ac:dyDescent="0.25">
      <c r="H1472" s="20"/>
    </row>
    <row r="1473" spans="8:8" ht="36" customHeight="1" x14ac:dyDescent="0.25">
      <c r="H1473" s="20"/>
    </row>
    <row r="1474" spans="8:8" ht="36" customHeight="1" x14ac:dyDescent="0.25">
      <c r="H1474" s="20"/>
    </row>
    <row r="1475" spans="8:8" ht="36" customHeight="1" x14ac:dyDescent="0.25">
      <c r="H1475" s="20"/>
    </row>
    <row r="1476" spans="8:8" ht="36" customHeight="1" x14ac:dyDescent="0.25">
      <c r="H1476" s="20"/>
    </row>
    <row r="1477" spans="8:8" ht="36" customHeight="1" x14ac:dyDescent="0.25">
      <c r="H1477" s="20"/>
    </row>
    <row r="1478" spans="8:8" ht="36" customHeight="1" x14ac:dyDescent="0.25">
      <c r="H1478" s="20"/>
    </row>
    <row r="1479" spans="8:8" ht="36" customHeight="1" x14ac:dyDescent="0.25">
      <c r="H1479" s="20"/>
    </row>
    <row r="1480" spans="8:8" ht="36" customHeight="1" x14ac:dyDescent="0.25">
      <c r="H1480" s="20"/>
    </row>
    <row r="1481" spans="8:8" ht="36" customHeight="1" x14ac:dyDescent="0.25">
      <c r="H1481" s="20"/>
    </row>
    <row r="1482" spans="8:8" ht="36" customHeight="1" x14ac:dyDescent="0.25">
      <c r="H1482" s="20"/>
    </row>
    <row r="1483" spans="8:8" ht="36" customHeight="1" x14ac:dyDescent="0.25">
      <c r="H1483" s="20"/>
    </row>
    <row r="1484" spans="8:8" ht="36" customHeight="1" x14ac:dyDescent="0.25">
      <c r="H1484" s="20"/>
    </row>
    <row r="1485" spans="8:8" ht="36" customHeight="1" x14ac:dyDescent="0.25">
      <c r="H1485" s="20"/>
    </row>
    <row r="1486" spans="8:8" ht="36" customHeight="1" x14ac:dyDescent="0.25">
      <c r="H1486" s="20"/>
    </row>
    <row r="1487" spans="8:8" ht="36" customHeight="1" x14ac:dyDescent="0.25">
      <c r="H1487" s="20"/>
    </row>
    <row r="1488" spans="8:8" ht="36" customHeight="1" x14ac:dyDescent="0.25">
      <c r="H1488" s="20"/>
    </row>
    <row r="1489" spans="8:8" ht="36" customHeight="1" x14ac:dyDescent="0.25">
      <c r="H1489" s="20"/>
    </row>
    <row r="1490" spans="8:8" ht="36" customHeight="1" x14ac:dyDescent="0.25">
      <c r="H1490" s="20"/>
    </row>
    <row r="1491" spans="8:8" ht="36" customHeight="1" x14ac:dyDescent="0.25">
      <c r="H1491" s="20"/>
    </row>
    <row r="1492" spans="8:8" ht="36" customHeight="1" x14ac:dyDescent="0.25">
      <c r="H1492" s="20"/>
    </row>
    <row r="1493" spans="8:8" ht="36" customHeight="1" x14ac:dyDescent="0.25">
      <c r="H1493" s="20"/>
    </row>
    <row r="1494" spans="8:8" ht="36" customHeight="1" x14ac:dyDescent="0.25">
      <c r="H1494" s="20"/>
    </row>
    <row r="1495" spans="8:8" ht="36" customHeight="1" x14ac:dyDescent="0.25">
      <c r="H1495" s="20"/>
    </row>
    <row r="1496" spans="8:8" ht="36" customHeight="1" x14ac:dyDescent="0.25">
      <c r="H1496" s="20"/>
    </row>
    <row r="1497" spans="8:8" ht="36" customHeight="1" x14ac:dyDescent="0.25">
      <c r="H1497" s="20"/>
    </row>
    <row r="1498" spans="8:8" ht="36" customHeight="1" x14ac:dyDescent="0.25">
      <c r="H1498" s="20"/>
    </row>
    <row r="1499" spans="8:8" ht="36" customHeight="1" x14ac:dyDescent="0.25">
      <c r="H1499" s="20"/>
    </row>
    <row r="1500" spans="8:8" ht="36" customHeight="1" x14ac:dyDescent="0.25">
      <c r="H1500" s="20"/>
    </row>
    <row r="1501" spans="8:8" ht="36" customHeight="1" x14ac:dyDescent="0.25">
      <c r="H1501" s="20"/>
    </row>
    <row r="1502" spans="8:8" ht="36" customHeight="1" x14ac:dyDescent="0.25">
      <c r="H1502" s="20"/>
    </row>
    <row r="1503" spans="8:8" ht="36" customHeight="1" x14ac:dyDescent="0.25">
      <c r="H1503" s="20"/>
    </row>
    <row r="1504" spans="8:8" ht="36" customHeight="1" x14ac:dyDescent="0.25">
      <c r="H1504" s="20"/>
    </row>
    <row r="1505" spans="8:8" ht="36" customHeight="1" x14ac:dyDescent="0.25">
      <c r="H1505" s="20"/>
    </row>
    <row r="1506" spans="8:8" ht="36" customHeight="1" x14ac:dyDescent="0.25">
      <c r="H1506" s="20"/>
    </row>
    <row r="1507" spans="8:8" ht="36" customHeight="1" x14ac:dyDescent="0.25">
      <c r="H1507" s="20"/>
    </row>
    <row r="1508" spans="8:8" ht="36" customHeight="1" x14ac:dyDescent="0.25">
      <c r="H1508" s="20"/>
    </row>
    <row r="1509" spans="8:8" ht="36" customHeight="1" x14ac:dyDescent="0.25">
      <c r="H1509" s="20"/>
    </row>
    <row r="1510" spans="8:8" ht="36" customHeight="1" x14ac:dyDescent="0.25">
      <c r="H1510" s="20"/>
    </row>
    <row r="1511" spans="8:8" ht="36" customHeight="1" x14ac:dyDescent="0.25">
      <c r="H1511" s="20"/>
    </row>
    <row r="1512" spans="8:8" ht="36" customHeight="1" x14ac:dyDescent="0.25">
      <c r="H1512" s="20"/>
    </row>
    <row r="1513" spans="8:8" ht="36" customHeight="1" x14ac:dyDescent="0.25">
      <c r="H1513" s="20"/>
    </row>
    <row r="1514" spans="8:8" ht="36" customHeight="1" x14ac:dyDescent="0.25">
      <c r="H1514" s="20"/>
    </row>
    <row r="1515" spans="8:8" ht="36" customHeight="1" x14ac:dyDescent="0.25">
      <c r="H1515" s="20"/>
    </row>
    <row r="1516" spans="8:8" ht="36" customHeight="1" x14ac:dyDescent="0.25">
      <c r="H1516" s="20"/>
    </row>
    <row r="1517" spans="8:8" ht="36" customHeight="1" x14ac:dyDescent="0.25">
      <c r="H1517" s="20"/>
    </row>
    <row r="1518" spans="8:8" ht="36" customHeight="1" x14ac:dyDescent="0.25">
      <c r="H1518" s="20"/>
    </row>
    <row r="1519" spans="8:8" ht="36" customHeight="1" x14ac:dyDescent="0.25">
      <c r="H1519" s="20"/>
    </row>
    <row r="1520" spans="8:8" ht="36" customHeight="1" x14ac:dyDescent="0.25">
      <c r="H1520" s="20"/>
    </row>
    <row r="1521" spans="8:8" ht="36" customHeight="1" x14ac:dyDescent="0.25">
      <c r="H1521" s="20"/>
    </row>
    <row r="1522" spans="8:8" ht="36" customHeight="1" x14ac:dyDescent="0.25">
      <c r="H1522" s="20"/>
    </row>
    <row r="1523" spans="8:8" ht="36" customHeight="1" x14ac:dyDescent="0.25">
      <c r="H1523" s="20"/>
    </row>
    <row r="1524" spans="8:8" ht="36" customHeight="1" x14ac:dyDescent="0.25">
      <c r="H1524" s="20"/>
    </row>
    <row r="1525" spans="8:8" ht="36" customHeight="1" x14ac:dyDescent="0.25">
      <c r="H1525" s="20"/>
    </row>
    <row r="1526" spans="8:8" ht="36" customHeight="1" x14ac:dyDescent="0.25">
      <c r="H1526" s="20"/>
    </row>
    <row r="1527" spans="8:8" ht="36" customHeight="1" x14ac:dyDescent="0.25">
      <c r="H1527" s="20"/>
    </row>
    <row r="1528" spans="8:8" ht="36" customHeight="1" x14ac:dyDescent="0.25">
      <c r="H1528" s="20"/>
    </row>
    <row r="1529" spans="8:8" ht="36" customHeight="1" x14ac:dyDescent="0.25">
      <c r="H1529" s="20"/>
    </row>
    <row r="1530" spans="8:8" ht="36" customHeight="1" x14ac:dyDescent="0.25">
      <c r="H1530" s="20"/>
    </row>
    <row r="1531" spans="8:8" ht="36" customHeight="1" x14ac:dyDescent="0.25">
      <c r="H1531" s="20"/>
    </row>
    <row r="1532" spans="8:8" ht="36" customHeight="1" x14ac:dyDescent="0.25">
      <c r="H1532" s="20"/>
    </row>
    <row r="1533" spans="8:8" ht="36" customHeight="1" x14ac:dyDescent="0.25">
      <c r="H1533" s="20"/>
    </row>
    <row r="1534" spans="8:8" ht="36" customHeight="1" x14ac:dyDescent="0.25">
      <c r="H1534" s="20"/>
    </row>
    <row r="1535" spans="8:8" ht="36" customHeight="1" x14ac:dyDescent="0.25">
      <c r="H1535" s="20"/>
    </row>
    <row r="1536" spans="8:8" ht="36" customHeight="1" x14ac:dyDescent="0.25">
      <c r="H1536" s="20"/>
    </row>
    <row r="1537" spans="8:8" ht="36" customHeight="1" x14ac:dyDescent="0.25">
      <c r="H1537" s="20"/>
    </row>
    <row r="1538" spans="8:8" ht="36" customHeight="1" x14ac:dyDescent="0.25">
      <c r="H1538" s="20"/>
    </row>
    <row r="1539" spans="8:8" ht="36" customHeight="1" x14ac:dyDescent="0.25">
      <c r="H1539" s="20"/>
    </row>
    <row r="1540" spans="8:8" ht="36" customHeight="1" x14ac:dyDescent="0.25">
      <c r="H1540" s="20"/>
    </row>
    <row r="1541" spans="8:8" ht="36" customHeight="1" x14ac:dyDescent="0.25">
      <c r="H1541" s="20"/>
    </row>
    <row r="1542" spans="8:8" ht="36" customHeight="1" x14ac:dyDescent="0.25">
      <c r="H1542" s="20"/>
    </row>
    <row r="1543" spans="8:8" ht="36" customHeight="1" x14ac:dyDescent="0.25">
      <c r="H1543" s="20"/>
    </row>
    <row r="1544" spans="8:8" ht="36" customHeight="1" x14ac:dyDescent="0.25">
      <c r="H1544" s="20"/>
    </row>
    <row r="1545" spans="8:8" ht="36" customHeight="1" x14ac:dyDescent="0.25">
      <c r="H1545" s="20"/>
    </row>
    <row r="1546" spans="8:8" ht="36" customHeight="1" x14ac:dyDescent="0.25">
      <c r="H1546" s="20"/>
    </row>
    <row r="1547" spans="8:8" ht="36" customHeight="1" x14ac:dyDescent="0.25">
      <c r="H1547" s="20"/>
    </row>
    <row r="1548" spans="8:8" ht="36" customHeight="1" x14ac:dyDescent="0.25">
      <c r="H1548" s="20"/>
    </row>
    <row r="1549" spans="8:8" ht="36" customHeight="1" x14ac:dyDescent="0.25">
      <c r="H1549" s="20"/>
    </row>
    <row r="1550" spans="8:8" ht="36" customHeight="1" x14ac:dyDescent="0.25">
      <c r="H1550" s="20"/>
    </row>
    <row r="1551" spans="8:8" ht="36" customHeight="1" x14ac:dyDescent="0.25">
      <c r="H1551" s="20"/>
    </row>
    <row r="1552" spans="8:8" ht="36" customHeight="1" x14ac:dyDescent="0.25">
      <c r="H1552" s="20"/>
    </row>
    <row r="1553" spans="8:8" ht="36" customHeight="1" x14ac:dyDescent="0.25">
      <c r="H1553" s="20"/>
    </row>
    <row r="1554" spans="8:8" ht="36" customHeight="1" x14ac:dyDescent="0.25">
      <c r="H1554" s="20"/>
    </row>
    <row r="1555" spans="8:8" ht="36" customHeight="1" x14ac:dyDescent="0.25">
      <c r="H1555" s="20"/>
    </row>
    <row r="1556" spans="8:8" ht="36" customHeight="1" x14ac:dyDescent="0.25">
      <c r="H1556" s="20"/>
    </row>
    <row r="1557" spans="8:8" ht="36" customHeight="1" x14ac:dyDescent="0.25">
      <c r="H1557" s="20"/>
    </row>
    <row r="1558" spans="8:8" ht="36" customHeight="1" x14ac:dyDescent="0.25">
      <c r="H1558" s="20"/>
    </row>
    <row r="1559" spans="8:8" ht="36" customHeight="1" x14ac:dyDescent="0.25">
      <c r="H1559" s="20"/>
    </row>
    <row r="1560" spans="8:8" ht="36" customHeight="1" x14ac:dyDescent="0.25">
      <c r="H1560" s="20"/>
    </row>
    <row r="1561" spans="8:8" ht="36" customHeight="1" x14ac:dyDescent="0.25">
      <c r="H1561" s="20"/>
    </row>
    <row r="1562" spans="8:8" ht="36" customHeight="1" x14ac:dyDescent="0.25">
      <c r="H1562" s="20"/>
    </row>
    <row r="1563" spans="8:8" ht="36" customHeight="1" x14ac:dyDescent="0.25">
      <c r="H1563" s="20"/>
    </row>
    <row r="1564" spans="8:8" ht="36" customHeight="1" x14ac:dyDescent="0.25">
      <c r="H1564" s="20"/>
    </row>
    <row r="1565" spans="8:8" ht="36" customHeight="1" x14ac:dyDescent="0.25">
      <c r="H1565" s="20"/>
    </row>
    <row r="1566" spans="8:8" ht="36" customHeight="1" x14ac:dyDescent="0.25">
      <c r="H1566" s="20"/>
    </row>
    <row r="1567" spans="8:8" ht="36" customHeight="1" x14ac:dyDescent="0.25">
      <c r="H1567" s="20"/>
    </row>
    <row r="1568" spans="8:8" ht="36" customHeight="1" x14ac:dyDescent="0.25">
      <c r="H1568" s="20"/>
    </row>
    <row r="1569" spans="8:8" ht="36" customHeight="1" x14ac:dyDescent="0.25">
      <c r="H1569" s="20"/>
    </row>
    <row r="1570" spans="8:8" ht="36" customHeight="1" x14ac:dyDescent="0.25">
      <c r="H1570" s="20"/>
    </row>
    <row r="1571" spans="8:8" ht="36" customHeight="1" x14ac:dyDescent="0.25">
      <c r="H1571" s="20"/>
    </row>
    <row r="1572" spans="8:8" ht="36" customHeight="1" x14ac:dyDescent="0.25">
      <c r="H1572" s="20"/>
    </row>
    <row r="1573" spans="8:8" ht="36" customHeight="1" x14ac:dyDescent="0.25">
      <c r="H1573" s="20"/>
    </row>
    <row r="1574" spans="8:8" ht="36" customHeight="1" x14ac:dyDescent="0.25">
      <c r="H1574" s="20"/>
    </row>
    <row r="1575" spans="8:8" ht="36" customHeight="1" x14ac:dyDescent="0.25">
      <c r="H1575" s="20"/>
    </row>
    <row r="1576" spans="8:8" ht="36" customHeight="1" x14ac:dyDescent="0.25">
      <c r="H1576" s="20"/>
    </row>
    <row r="1577" spans="8:8" ht="36" customHeight="1" x14ac:dyDescent="0.25">
      <c r="H1577" s="20"/>
    </row>
    <row r="1578" spans="8:8" ht="36" customHeight="1" x14ac:dyDescent="0.25">
      <c r="H1578" s="20"/>
    </row>
    <row r="1579" spans="8:8" ht="36" customHeight="1" x14ac:dyDescent="0.25">
      <c r="H1579" s="20"/>
    </row>
    <row r="1580" spans="8:8" ht="36" customHeight="1" x14ac:dyDescent="0.25">
      <c r="H1580" s="20"/>
    </row>
    <row r="1581" spans="8:8" ht="36" customHeight="1" x14ac:dyDescent="0.25">
      <c r="H1581" s="20"/>
    </row>
    <row r="1582" spans="8:8" ht="36" customHeight="1" x14ac:dyDescent="0.25">
      <c r="H1582" s="20"/>
    </row>
    <row r="1583" spans="8:8" ht="36" customHeight="1" x14ac:dyDescent="0.25">
      <c r="H1583" s="20"/>
    </row>
    <row r="1584" spans="8:8" ht="36" customHeight="1" x14ac:dyDescent="0.25">
      <c r="H1584" s="20"/>
    </row>
    <row r="1585" spans="8:8" ht="36" customHeight="1" x14ac:dyDescent="0.25">
      <c r="H1585" s="20"/>
    </row>
    <row r="1586" spans="8:8" ht="36" customHeight="1" x14ac:dyDescent="0.25">
      <c r="H1586" s="20"/>
    </row>
    <row r="1587" spans="8:8" ht="36" customHeight="1" x14ac:dyDescent="0.25">
      <c r="H1587" s="20"/>
    </row>
    <row r="1588" spans="8:8" ht="36" customHeight="1" x14ac:dyDescent="0.25">
      <c r="H1588" s="20"/>
    </row>
    <row r="1589" spans="8:8" ht="36" customHeight="1" x14ac:dyDescent="0.25">
      <c r="H1589" s="20"/>
    </row>
    <row r="1590" spans="8:8" ht="36" customHeight="1" x14ac:dyDescent="0.25">
      <c r="H1590" s="20"/>
    </row>
    <row r="1591" spans="8:8" ht="36" customHeight="1" x14ac:dyDescent="0.25">
      <c r="H1591" s="20"/>
    </row>
    <row r="1592" spans="8:8" ht="36" customHeight="1" x14ac:dyDescent="0.25">
      <c r="H1592" s="20"/>
    </row>
    <row r="1593" spans="8:8" ht="36" customHeight="1" x14ac:dyDescent="0.25">
      <c r="H1593" s="20"/>
    </row>
    <row r="1594" spans="8:8" ht="36" customHeight="1" x14ac:dyDescent="0.25">
      <c r="H1594" s="20"/>
    </row>
    <row r="1595" spans="8:8" ht="36" customHeight="1" x14ac:dyDescent="0.25">
      <c r="H1595" s="20"/>
    </row>
    <row r="1596" spans="8:8" ht="36" customHeight="1" x14ac:dyDescent="0.25">
      <c r="H1596" s="20"/>
    </row>
    <row r="1597" spans="8:8" ht="36" customHeight="1" x14ac:dyDescent="0.25">
      <c r="H1597" s="20"/>
    </row>
    <row r="1598" spans="8:8" ht="36" customHeight="1" x14ac:dyDescent="0.25">
      <c r="H1598" s="20"/>
    </row>
    <row r="1599" spans="8:8" ht="36" customHeight="1" x14ac:dyDescent="0.25">
      <c r="H1599" s="20"/>
    </row>
    <row r="1600" spans="8:8" ht="36" customHeight="1" x14ac:dyDescent="0.25">
      <c r="H1600" s="20"/>
    </row>
    <row r="1601" spans="8:8" ht="36" customHeight="1" x14ac:dyDescent="0.25">
      <c r="H1601" s="20"/>
    </row>
    <row r="1602" spans="8:8" ht="36" customHeight="1" x14ac:dyDescent="0.25">
      <c r="H1602" s="20"/>
    </row>
    <row r="1603" spans="8:8" ht="36" customHeight="1" x14ac:dyDescent="0.25">
      <c r="H1603" s="20"/>
    </row>
    <row r="1604" spans="8:8" ht="36" customHeight="1" x14ac:dyDescent="0.25">
      <c r="H1604" s="20"/>
    </row>
    <row r="1605" spans="8:8" ht="36" customHeight="1" x14ac:dyDescent="0.25">
      <c r="H1605" s="20"/>
    </row>
    <row r="1606" spans="8:8" ht="36" customHeight="1" x14ac:dyDescent="0.25">
      <c r="H1606" s="20"/>
    </row>
    <row r="1607" spans="8:8" ht="36" customHeight="1" x14ac:dyDescent="0.25">
      <c r="H1607" s="20"/>
    </row>
    <row r="1608" spans="8:8" ht="36" customHeight="1" x14ac:dyDescent="0.25">
      <c r="H1608" s="20"/>
    </row>
    <row r="1609" spans="8:8" ht="36" customHeight="1" x14ac:dyDescent="0.25">
      <c r="H1609" s="20"/>
    </row>
    <row r="1610" spans="8:8" ht="36" customHeight="1" x14ac:dyDescent="0.25">
      <c r="H1610" s="20"/>
    </row>
    <row r="1611" spans="8:8" ht="36" customHeight="1" x14ac:dyDescent="0.25">
      <c r="H1611" s="20"/>
    </row>
    <row r="1612" spans="8:8" ht="36" customHeight="1" x14ac:dyDescent="0.25">
      <c r="H1612" s="20"/>
    </row>
    <row r="1613" spans="8:8" ht="36" customHeight="1" x14ac:dyDescent="0.25">
      <c r="H1613" s="20"/>
    </row>
    <row r="1614" spans="8:8" ht="36" customHeight="1" x14ac:dyDescent="0.25">
      <c r="H1614" s="20"/>
    </row>
    <row r="1615" spans="8:8" ht="36" customHeight="1" x14ac:dyDescent="0.25">
      <c r="H1615" s="20"/>
    </row>
    <row r="1616" spans="8:8" ht="36" customHeight="1" x14ac:dyDescent="0.25">
      <c r="H1616" s="20"/>
    </row>
    <row r="1617" spans="8:8" ht="36" customHeight="1" x14ac:dyDescent="0.25">
      <c r="H1617" s="20"/>
    </row>
    <row r="1618" spans="8:8" ht="36" customHeight="1" x14ac:dyDescent="0.25">
      <c r="H1618" s="20"/>
    </row>
    <row r="1619" spans="8:8" ht="36" customHeight="1" x14ac:dyDescent="0.25">
      <c r="H1619" s="20"/>
    </row>
    <row r="1620" spans="8:8" ht="36" customHeight="1" x14ac:dyDescent="0.25">
      <c r="H1620" s="20"/>
    </row>
    <row r="1621" spans="8:8" ht="36" customHeight="1" x14ac:dyDescent="0.25">
      <c r="H1621" s="20"/>
    </row>
    <row r="1622" spans="8:8" ht="36" customHeight="1" x14ac:dyDescent="0.25">
      <c r="H1622" s="20"/>
    </row>
    <row r="1623" spans="8:8" ht="36" customHeight="1" x14ac:dyDescent="0.25">
      <c r="H1623" s="20"/>
    </row>
    <row r="1624" spans="8:8" ht="36" customHeight="1" x14ac:dyDescent="0.25">
      <c r="H1624" s="20"/>
    </row>
    <row r="1625" spans="8:8" ht="36" customHeight="1" x14ac:dyDescent="0.25">
      <c r="H1625" s="20"/>
    </row>
    <row r="1626" spans="8:8" ht="36" customHeight="1" x14ac:dyDescent="0.25">
      <c r="H1626" s="20"/>
    </row>
    <row r="1627" spans="8:8" ht="36" customHeight="1" x14ac:dyDescent="0.25">
      <c r="H1627" s="20"/>
    </row>
    <row r="1628" spans="8:8" ht="36" customHeight="1" x14ac:dyDescent="0.25">
      <c r="H1628" s="20"/>
    </row>
    <row r="1629" spans="8:8" ht="36" customHeight="1" x14ac:dyDescent="0.25">
      <c r="H1629" s="20"/>
    </row>
    <row r="1630" spans="8:8" ht="36" customHeight="1" x14ac:dyDescent="0.25">
      <c r="H1630" s="20"/>
    </row>
    <row r="1631" spans="8:8" ht="36" customHeight="1" x14ac:dyDescent="0.25">
      <c r="H1631" s="20"/>
    </row>
    <row r="1632" spans="8:8" ht="36" customHeight="1" x14ac:dyDescent="0.25">
      <c r="H1632" s="20"/>
    </row>
    <row r="1633" spans="8:8" ht="36" customHeight="1" x14ac:dyDescent="0.25">
      <c r="H1633" s="20"/>
    </row>
    <row r="1634" spans="8:8" ht="36" customHeight="1" x14ac:dyDescent="0.25">
      <c r="H1634" s="20"/>
    </row>
    <row r="1635" spans="8:8" ht="36" customHeight="1" x14ac:dyDescent="0.25">
      <c r="H1635" s="20"/>
    </row>
    <row r="1636" spans="8:8" ht="36" customHeight="1" x14ac:dyDescent="0.25">
      <c r="H1636" s="20"/>
    </row>
    <row r="1637" spans="8:8" ht="36" customHeight="1" x14ac:dyDescent="0.25">
      <c r="H1637" s="20"/>
    </row>
    <row r="1638" spans="8:8" ht="36" customHeight="1" x14ac:dyDescent="0.25">
      <c r="H1638" s="20"/>
    </row>
    <row r="1639" spans="8:8" ht="36" customHeight="1" x14ac:dyDescent="0.25">
      <c r="H1639" s="20"/>
    </row>
    <row r="1640" spans="8:8" ht="36" customHeight="1" x14ac:dyDescent="0.25">
      <c r="H1640" s="20"/>
    </row>
    <row r="1641" spans="8:8" ht="36" customHeight="1" x14ac:dyDescent="0.25">
      <c r="H1641" s="20"/>
    </row>
    <row r="1642" spans="8:8" ht="36" customHeight="1" x14ac:dyDescent="0.25">
      <c r="H1642" s="20"/>
    </row>
    <row r="1643" spans="8:8" ht="36" customHeight="1" x14ac:dyDescent="0.25">
      <c r="H1643" s="20"/>
    </row>
    <row r="1644" spans="8:8" ht="36" customHeight="1" x14ac:dyDescent="0.25">
      <c r="H1644" s="20"/>
    </row>
    <row r="1645" spans="8:8" ht="36" customHeight="1" x14ac:dyDescent="0.25">
      <c r="H1645" s="20"/>
    </row>
    <row r="1646" spans="8:8" ht="36" customHeight="1" x14ac:dyDescent="0.25">
      <c r="H1646" s="20"/>
    </row>
    <row r="1647" spans="8:8" ht="36" customHeight="1" x14ac:dyDescent="0.25">
      <c r="H1647" s="20"/>
    </row>
    <row r="1648" spans="8:8" ht="36" customHeight="1" x14ac:dyDescent="0.25">
      <c r="H1648" s="20"/>
    </row>
    <row r="1649" spans="8:8" ht="36" customHeight="1" x14ac:dyDescent="0.25">
      <c r="H1649" s="20"/>
    </row>
    <row r="1650" spans="8:8" ht="36" customHeight="1" x14ac:dyDescent="0.25">
      <c r="H1650" s="20"/>
    </row>
    <row r="1651" spans="8:8" ht="36" customHeight="1" x14ac:dyDescent="0.25">
      <c r="H1651" s="20"/>
    </row>
    <row r="1652" spans="8:8" ht="36" customHeight="1" x14ac:dyDescent="0.25">
      <c r="H1652" s="20"/>
    </row>
    <row r="1653" spans="8:8" ht="36" customHeight="1" x14ac:dyDescent="0.25">
      <c r="H1653" s="20"/>
    </row>
    <row r="1654" spans="8:8" ht="36" customHeight="1" x14ac:dyDescent="0.25">
      <c r="H1654" s="20"/>
    </row>
    <row r="1655" spans="8:8" ht="36" customHeight="1" x14ac:dyDescent="0.25">
      <c r="H1655" s="20"/>
    </row>
    <row r="1656" spans="8:8" ht="36" customHeight="1" x14ac:dyDescent="0.25">
      <c r="H1656" s="20"/>
    </row>
    <row r="1657" spans="8:8" ht="36" customHeight="1" x14ac:dyDescent="0.25">
      <c r="H1657" s="20"/>
    </row>
    <row r="1658" spans="8:8" ht="36" customHeight="1" x14ac:dyDescent="0.25">
      <c r="H1658" s="20"/>
    </row>
    <row r="1659" spans="8:8" ht="36" customHeight="1" x14ac:dyDescent="0.25">
      <c r="H1659" s="20"/>
    </row>
    <row r="1660" spans="8:8" ht="36" customHeight="1" x14ac:dyDescent="0.25">
      <c r="H1660" s="20"/>
    </row>
    <row r="1661" spans="8:8" ht="36" customHeight="1" x14ac:dyDescent="0.25">
      <c r="H1661" s="20"/>
    </row>
    <row r="1662" spans="8:8" ht="36" customHeight="1" x14ac:dyDescent="0.25">
      <c r="H1662" s="20"/>
    </row>
    <row r="1663" spans="8:8" ht="36" customHeight="1" x14ac:dyDescent="0.25">
      <c r="H1663" s="20"/>
    </row>
    <row r="1664" spans="8:8" ht="36" customHeight="1" x14ac:dyDescent="0.25">
      <c r="H1664" s="20"/>
    </row>
    <row r="1665" spans="8:8" ht="36" customHeight="1" x14ac:dyDescent="0.25">
      <c r="H1665" s="20"/>
    </row>
    <row r="1666" spans="8:8" ht="36" customHeight="1" x14ac:dyDescent="0.25">
      <c r="H1666" s="20"/>
    </row>
    <row r="1667" spans="8:8" ht="36" customHeight="1" x14ac:dyDescent="0.25">
      <c r="H1667" s="20"/>
    </row>
    <row r="1668" spans="8:8" ht="36" customHeight="1" x14ac:dyDescent="0.25">
      <c r="H1668" s="20"/>
    </row>
    <row r="1669" spans="8:8" ht="36" customHeight="1" x14ac:dyDescent="0.25">
      <c r="H1669" s="20"/>
    </row>
    <row r="1670" spans="8:8" ht="36" customHeight="1" x14ac:dyDescent="0.25">
      <c r="H1670" s="20"/>
    </row>
    <row r="1671" spans="8:8" ht="36" customHeight="1" x14ac:dyDescent="0.25">
      <c r="H1671" s="20"/>
    </row>
    <row r="1672" spans="8:8" ht="36" customHeight="1" x14ac:dyDescent="0.25">
      <c r="H1672" s="20"/>
    </row>
    <row r="1673" spans="8:8" ht="36" customHeight="1" x14ac:dyDescent="0.25">
      <c r="H1673" s="20"/>
    </row>
    <row r="1674" spans="8:8" ht="36" customHeight="1" x14ac:dyDescent="0.25">
      <c r="H1674" s="20"/>
    </row>
    <row r="1675" spans="8:8" ht="36" customHeight="1" x14ac:dyDescent="0.25">
      <c r="H1675" s="20"/>
    </row>
    <row r="1676" spans="8:8" ht="36" customHeight="1" x14ac:dyDescent="0.25">
      <c r="H1676" s="20"/>
    </row>
    <row r="1677" spans="8:8" ht="36" customHeight="1" x14ac:dyDescent="0.25">
      <c r="H1677" s="20"/>
    </row>
    <row r="1678" spans="8:8" ht="36" customHeight="1" x14ac:dyDescent="0.25">
      <c r="H1678" s="20"/>
    </row>
    <row r="1679" spans="8:8" ht="36" customHeight="1" x14ac:dyDescent="0.25">
      <c r="H1679" s="20"/>
    </row>
    <row r="1680" spans="8:8" ht="36" customHeight="1" x14ac:dyDescent="0.25">
      <c r="H1680" s="20"/>
    </row>
    <row r="1681" spans="8:8" ht="36" customHeight="1" x14ac:dyDescent="0.25">
      <c r="H1681" s="20"/>
    </row>
    <row r="1682" spans="8:8" ht="36" customHeight="1" x14ac:dyDescent="0.25">
      <c r="H1682" s="20"/>
    </row>
    <row r="1683" spans="8:8" ht="36" customHeight="1" x14ac:dyDescent="0.25">
      <c r="H1683" s="20"/>
    </row>
    <row r="1684" spans="8:8" ht="36" customHeight="1" x14ac:dyDescent="0.25">
      <c r="H1684" s="20"/>
    </row>
    <row r="1685" spans="8:8" ht="36" customHeight="1" x14ac:dyDescent="0.25">
      <c r="H1685" s="20"/>
    </row>
    <row r="1686" spans="8:8" ht="36" customHeight="1" x14ac:dyDescent="0.25">
      <c r="H1686" s="20"/>
    </row>
    <row r="1687" spans="8:8" ht="36" customHeight="1" x14ac:dyDescent="0.25">
      <c r="H1687" s="20"/>
    </row>
    <row r="1688" spans="8:8" ht="36" customHeight="1" x14ac:dyDescent="0.25">
      <c r="H1688" s="20"/>
    </row>
    <row r="1689" spans="8:8" ht="36" customHeight="1" x14ac:dyDescent="0.25">
      <c r="H1689" s="20"/>
    </row>
    <row r="1690" spans="8:8" ht="36" customHeight="1" x14ac:dyDescent="0.25">
      <c r="H1690" s="20"/>
    </row>
    <row r="1691" spans="8:8" ht="36" customHeight="1" x14ac:dyDescent="0.25">
      <c r="H1691" s="20"/>
    </row>
    <row r="1692" spans="8:8" ht="36" customHeight="1" x14ac:dyDescent="0.25">
      <c r="H1692" s="20"/>
    </row>
    <row r="1693" spans="8:8" ht="36" customHeight="1" x14ac:dyDescent="0.25">
      <c r="H1693" s="20"/>
    </row>
    <row r="1694" spans="8:8" ht="36" customHeight="1" x14ac:dyDescent="0.25">
      <c r="H1694" s="20"/>
    </row>
    <row r="1695" spans="8:8" ht="36" customHeight="1" x14ac:dyDescent="0.25">
      <c r="H1695" s="20"/>
    </row>
    <row r="1696" spans="8:8" ht="36" customHeight="1" x14ac:dyDescent="0.25">
      <c r="H1696" s="20"/>
    </row>
    <row r="1697" spans="8:8" ht="36" customHeight="1" x14ac:dyDescent="0.25">
      <c r="H1697" s="20"/>
    </row>
    <row r="1698" spans="8:8" ht="36" customHeight="1" x14ac:dyDescent="0.25">
      <c r="H1698" s="20"/>
    </row>
    <row r="1699" spans="8:8" ht="36" customHeight="1" x14ac:dyDescent="0.25">
      <c r="H1699" s="20"/>
    </row>
    <row r="1700" spans="8:8" ht="36" customHeight="1" x14ac:dyDescent="0.25">
      <c r="H1700" s="20"/>
    </row>
    <row r="1701" spans="8:8" ht="36" customHeight="1" x14ac:dyDescent="0.25">
      <c r="H1701" s="20"/>
    </row>
    <row r="1702" spans="8:8" ht="36" customHeight="1" x14ac:dyDescent="0.25">
      <c r="H1702" s="20"/>
    </row>
    <row r="1703" spans="8:8" ht="36" customHeight="1" x14ac:dyDescent="0.25">
      <c r="H1703" s="20"/>
    </row>
    <row r="1704" spans="8:8" ht="36" customHeight="1" x14ac:dyDescent="0.25">
      <c r="H1704" s="20"/>
    </row>
    <row r="1705" spans="8:8" ht="36" customHeight="1" x14ac:dyDescent="0.25">
      <c r="H1705" s="20"/>
    </row>
    <row r="1706" spans="8:8" ht="36" customHeight="1" x14ac:dyDescent="0.25">
      <c r="H1706" s="20"/>
    </row>
    <row r="1707" spans="8:8" ht="36" customHeight="1" x14ac:dyDescent="0.25">
      <c r="H1707" s="20"/>
    </row>
    <row r="1708" spans="8:8" ht="36" customHeight="1" x14ac:dyDescent="0.25">
      <c r="H1708" s="20"/>
    </row>
    <row r="1709" spans="8:8" ht="36" customHeight="1" x14ac:dyDescent="0.25">
      <c r="H1709" s="20"/>
    </row>
    <row r="1710" spans="8:8" ht="36" customHeight="1" x14ac:dyDescent="0.25">
      <c r="H1710" s="20"/>
    </row>
    <row r="1711" spans="8:8" ht="36" customHeight="1" x14ac:dyDescent="0.25">
      <c r="H1711" s="20"/>
    </row>
    <row r="1712" spans="8:8" ht="36" customHeight="1" x14ac:dyDescent="0.25">
      <c r="H1712" s="20"/>
    </row>
    <row r="1713" spans="8:8" ht="36" customHeight="1" x14ac:dyDescent="0.25">
      <c r="H1713" s="20"/>
    </row>
    <row r="1714" spans="8:8" ht="36" customHeight="1" x14ac:dyDescent="0.25">
      <c r="H1714" s="20"/>
    </row>
    <row r="1715" spans="8:8" ht="36" customHeight="1" x14ac:dyDescent="0.25">
      <c r="H1715" s="20"/>
    </row>
    <row r="1716" spans="8:8" ht="36" customHeight="1" x14ac:dyDescent="0.25">
      <c r="H1716" s="20"/>
    </row>
    <row r="1717" spans="8:8" ht="36" customHeight="1" x14ac:dyDescent="0.25">
      <c r="H1717" s="20"/>
    </row>
    <row r="1718" spans="8:8" ht="36" customHeight="1" x14ac:dyDescent="0.25">
      <c r="H1718" s="20"/>
    </row>
    <row r="1719" spans="8:8" ht="36" customHeight="1" x14ac:dyDescent="0.25">
      <c r="H1719" s="20"/>
    </row>
    <row r="1720" spans="8:8" ht="36" customHeight="1" x14ac:dyDescent="0.25">
      <c r="H1720" s="20"/>
    </row>
    <row r="1721" spans="8:8" ht="36" customHeight="1" x14ac:dyDescent="0.25">
      <c r="H1721" s="20"/>
    </row>
    <row r="1722" spans="8:8" ht="36" customHeight="1" x14ac:dyDescent="0.25">
      <c r="H1722" s="20"/>
    </row>
    <row r="1723" spans="8:8" ht="36" customHeight="1" x14ac:dyDescent="0.25">
      <c r="H1723" s="20"/>
    </row>
    <row r="1724" spans="8:8" ht="36" customHeight="1" x14ac:dyDescent="0.25">
      <c r="H1724" s="20"/>
    </row>
    <row r="1725" spans="8:8" ht="36" customHeight="1" x14ac:dyDescent="0.25">
      <c r="H1725" s="20"/>
    </row>
    <row r="1726" spans="8:8" ht="36" customHeight="1" x14ac:dyDescent="0.25">
      <c r="H1726" s="20"/>
    </row>
    <row r="1727" spans="8:8" ht="36" customHeight="1" x14ac:dyDescent="0.25">
      <c r="H1727" s="20"/>
    </row>
    <row r="1728" spans="8:8" ht="36" customHeight="1" x14ac:dyDescent="0.25">
      <c r="H1728" s="20"/>
    </row>
    <row r="1729" spans="8:8" ht="36" customHeight="1" x14ac:dyDescent="0.25">
      <c r="H1729" s="20"/>
    </row>
    <row r="1730" spans="8:8" ht="36" customHeight="1" x14ac:dyDescent="0.25">
      <c r="H1730" s="20"/>
    </row>
    <row r="1731" spans="8:8" ht="36" customHeight="1" x14ac:dyDescent="0.25">
      <c r="H1731" s="20"/>
    </row>
    <row r="1732" spans="8:8" ht="36" customHeight="1" x14ac:dyDescent="0.25">
      <c r="H1732" s="20"/>
    </row>
    <row r="1733" spans="8:8" ht="36" customHeight="1" x14ac:dyDescent="0.25">
      <c r="H1733" s="20"/>
    </row>
    <row r="1734" spans="8:8" ht="36" customHeight="1" x14ac:dyDescent="0.25">
      <c r="H1734" s="20"/>
    </row>
    <row r="1735" spans="8:8" ht="36" customHeight="1" x14ac:dyDescent="0.25">
      <c r="H1735" s="20"/>
    </row>
    <row r="1736" spans="8:8" ht="36" customHeight="1" x14ac:dyDescent="0.25">
      <c r="H1736" s="20"/>
    </row>
    <row r="1737" spans="8:8" ht="36" customHeight="1" x14ac:dyDescent="0.25">
      <c r="H1737" s="20"/>
    </row>
    <row r="1738" spans="8:8" ht="36" customHeight="1" x14ac:dyDescent="0.25">
      <c r="H1738" s="20"/>
    </row>
    <row r="1739" spans="8:8" ht="36" customHeight="1" x14ac:dyDescent="0.25">
      <c r="H1739" s="20"/>
    </row>
    <row r="1740" spans="8:8" ht="36" customHeight="1" x14ac:dyDescent="0.25">
      <c r="H1740" s="20"/>
    </row>
    <row r="1741" spans="8:8" ht="36" customHeight="1" x14ac:dyDescent="0.25">
      <c r="H1741" s="20"/>
    </row>
    <row r="1742" spans="8:8" ht="36" customHeight="1" x14ac:dyDescent="0.25">
      <c r="H1742" s="20"/>
    </row>
    <row r="1743" spans="8:8" ht="36" customHeight="1" x14ac:dyDescent="0.25">
      <c r="H1743" s="20"/>
    </row>
    <row r="1744" spans="8:8" ht="36" customHeight="1" x14ac:dyDescent="0.25">
      <c r="H1744" s="20"/>
    </row>
    <row r="1745" spans="8:8" ht="36" customHeight="1" x14ac:dyDescent="0.25">
      <c r="H1745" s="20"/>
    </row>
    <row r="1746" spans="8:8" ht="36" customHeight="1" x14ac:dyDescent="0.25">
      <c r="H1746" s="20"/>
    </row>
    <row r="1747" spans="8:8" ht="36" customHeight="1" x14ac:dyDescent="0.25">
      <c r="H1747" s="20"/>
    </row>
    <row r="1748" spans="8:8" ht="36" customHeight="1" x14ac:dyDescent="0.25">
      <c r="H1748" s="20"/>
    </row>
    <row r="1749" spans="8:8" ht="36" customHeight="1" x14ac:dyDescent="0.25">
      <c r="H1749" s="20"/>
    </row>
    <row r="1750" spans="8:8" ht="36" customHeight="1" x14ac:dyDescent="0.25">
      <c r="H1750" s="20"/>
    </row>
    <row r="1751" spans="8:8" ht="36" customHeight="1" x14ac:dyDescent="0.25">
      <c r="H1751" s="20"/>
    </row>
    <row r="1752" spans="8:8" ht="36" customHeight="1" x14ac:dyDescent="0.25">
      <c r="H1752" s="20"/>
    </row>
    <row r="1753" spans="8:8" ht="36" customHeight="1" x14ac:dyDescent="0.25">
      <c r="H1753" s="20"/>
    </row>
    <row r="1754" spans="8:8" ht="36" customHeight="1" x14ac:dyDescent="0.25">
      <c r="H1754" s="20"/>
    </row>
    <row r="1755" spans="8:8" ht="36" customHeight="1" x14ac:dyDescent="0.25">
      <c r="H1755" s="20"/>
    </row>
    <row r="1756" spans="8:8" ht="36" customHeight="1" x14ac:dyDescent="0.25">
      <c r="H1756" s="20"/>
    </row>
    <row r="1757" spans="8:8" ht="36" customHeight="1" x14ac:dyDescent="0.25">
      <c r="H1757" s="20"/>
    </row>
    <row r="1758" spans="8:8" ht="36" customHeight="1" x14ac:dyDescent="0.25">
      <c r="H1758" s="20"/>
    </row>
    <row r="1759" spans="8:8" ht="36" customHeight="1" x14ac:dyDescent="0.25">
      <c r="H1759" s="20"/>
    </row>
    <row r="1760" spans="8:8" ht="36" customHeight="1" x14ac:dyDescent="0.25">
      <c r="H1760" s="20"/>
    </row>
    <row r="1761" spans="8:8" ht="36" customHeight="1" x14ac:dyDescent="0.25">
      <c r="H1761" s="20"/>
    </row>
    <row r="1762" spans="8:8" ht="36" customHeight="1" x14ac:dyDescent="0.25">
      <c r="H1762" s="20"/>
    </row>
    <row r="1763" spans="8:8" ht="36" customHeight="1" x14ac:dyDescent="0.25">
      <c r="H1763" s="20"/>
    </row>
    <row r="1764" spans="8:8" ht="36" customHeight="1" x14ac:dyDescent="0.25">
      <c r="H1764" s="20"/>
    </row>
    <row r="1765" spans="8:8" ht="36" customHeight="1" x14ac:dyDescent="0.25">
      <c r="H1765" s="20"/>
    </row>
    <row r="1766" spans="8:8" ht="36" customHeight="1" x14ac:dyDescent="0.25">
      <c r="H1766" s="20"/>
    </row>
    <row r="1767" spans="8:8" ht="36" customHeight="1" x14ac:dyDescent="0.25">
      <c r="H1767" s="20"/>
    </row>
    <row r="1768" spans="8:8" ht="36" customHeight="1" x14ac:dyDescent="0.25">
      <c r="H1768" s="20"/>
    </row>
    <row r="1769" spans="8:8" ht="36" customHeight="1" x14ac:dyDescent="0.25">
      <c r="H1769" s="20"/>
    </row>
    <row r="1770" spans="8:8" ht="36" customHeight="1" x14ac:dyDescent="0.25">
      <c r="H1770" s="20"/>
    </row>
    <row r="1771" spans="8:8" ht="36" customHeight="1" x14ac:dyDescent="0.25">
      <c r="H1771" s="20"/>
    </row>
    <row r="1772" spans="8:8" ht="36" customHeight="1" x14ac:dyDescent="0.25">
      <c r="H1772" s="20"/>
    </row>
    <row r="1773" spans="8:8" ht="36" customHeight="1" x14ac:dyDescent="0.25">
      <c r="H1773" s="20"/>
    </row>
    <row r="1774" spans="8:8" ht="36" customHeight="1" x14ac:dyDescent="0.25">
      <c r="H1774" s="20"/>
    </row>
    <row r="1775" spans="8:8" ht="36" customHeight="1" x14ac:dyDescent="0.25">
      <c r="H1775" s="20"/>
    </row>
    <row r="1776" spans="8:8" ht="36" customHeight="1" x14ac:dyDescent="0.25">
      <c r="H1776" s="20"/>
    </row>
    <row r="1777" spans="8:8" ht="36" customHeight="1" x14ac:dyDescent="0.25">
      <c r="H1777" s="20"/>
    </row>
    <row r="1778" spans="8:8" ht="36" customHeight="1" x14ac:dyDescent="0.25">
      <c r="H1778" s="20"/>
    </row>
    <row r="1779" spans="8:8" ht="36" customHeight="1" x14ac:dyDescent="0.25">
      <c r="H1779" s="20"/>
    </row>
    <row r="1780" spans="8:8" ht="36" customHeight="1" x14ac:dyDescent="0.25">
      <c r="H1780" s="20"/>
    </row>
    <row r="1781" spans="8:8" ht="36" customHeight="1" x14ac:dyDescent="0.25">
      <c r="H1781" s="20"/>
    </row>
    <row r="1782" spans="8:8" ht="36" customHeight="1" x14ac:dyDescent="0.25">
      <c r="H1782" s="20"/>
    </row>
    <row r="1783" spans="8:8" ht="36" customHeight="1" x14ac:dyDescent="0.25">
      <c r="H1783" s="20"/>
    </row>
    <row r="1784" spans="8:8" ht="36" customHeight="1" x14ac:dyDescent="0.25">
      <c r="H1784" s="20"/>
    </row>
    <row r="1785" spans="8:8" ht="36" customHeight="1" x14ac:dyDescent="0.25">
      <c r="H1785" s="20"/>
    </row>
    <row r="1786" spans="8:8" ht="36" customHeight="1" x14ac:dyDescent="0.25">
      <c r="H1786" s="20"/>
    </row>
    <row r="1787" spans="8:8" ht="36" customHeight="1" x14ac:dyDescent="0.25">
      <c r="H1787" s="20"/>
    </row>
    <row r="1788" spans="8:8" ht="36" customHeight="1" x14ac:dyDescent="0.25">
      <c r="H1788" s="20"/>
    </row>
    <row r="1789" spans="8:8" ht="36" customHeight="1" x14ac:dyDescent="0.25">
      <c r="H1789" s="20"/>
    </row>
    <row r="1790" spans="8:8" ht="36" customHeight="1" x14ac:dyDescent="0.25">
      <c r="H1790" s="20"/>
    </row>
    <row r="1791" spans="8:8" ht="36" customHeight="1" x14ac:dyDescent="0.25">
      <c r="H1791" s="20"/>
    </row>
    <row r="1792" spans="8:8" ht="36" customHeight="1" x14ac:dyDescent="0.25">
      <c r="H1792" s="20"/>
    </row>
    <row r="1793" spans="8:8" ht="36" customHeight="1" x14ac:dyDescent="0.25">
      <c r="H1793" s="20"/>
    </row>
    <row r="1794" spans="8:8" ht="36" customHeight="1" x14ac:dyDescent="0.25">
      <c r="H1794" s="20"/>
    </row>
    <row r="1795" spans="8:8" ht="36" customHeight="1" x14ac:dyDescent="0.25">
      <c r="H1795" s="20"/>
    </row>
    <row r="1796" spans="8:8" ht="36" customHeight="1" x14ac:dyDescent="0.25">
      <c r="H1796" s="20"/>
    </row>
    <row r="1797" spans="8:8" ht="36" customHeight="1" x14ac:dyDescent="0.25">
      <c r="H1797" s="20"/>
    </row>
    <row r="1798" spans="8:8" ht="36" customHeight="1" x14ac:dyDescent="0.25">
      <c r="H1798" s="20"/>
    </row>
    <row r="1799" spans="8:8" ht="36" customHeight="1" x14ac:dyDescent="0.25">
      <c r="H1799" s="20"/>
    </row>
    <row r="1800" spans="8:8" ht="36" customHeight="1" x14ac:dyDescent="0.25">
      <c r="H1800" s="20"/>
    </row>
    <row r="1801" spans="8:8" ht="36" customHeight="1" x14ac:dyDescent="0.25">
      <c r="H1801" s="20"/>
    </row>
    <row r="1802" spans="8:8" ht="36" customHeight="1" x14ac:dyDescent="0.25">
      <c r="H1802" s="20"/>
    </row>
    <row r="1803" spans="8:8" ht="36" customHeight="1" x14ac:dyDescent="0.25">
      <c r="H1803" s="20"/>
    </row>
    <row r="1804" spans="8:8" ht="36" customHeight="1" x14ac:dyDescent="0.25">
      <c r="H1804" s="20"/>
    </row>
    <row r="1805" spans="8:8" ht="36" customHeight="1" x14ac:dyDescent="0.25">
      <c r="H1805" s="20"/>
    </row>
    <row r="1806" spans="8:8" ht="36" customHeight="1" x14ac:dyDescent="0.25">
      <c r="H1806" s="20"/>
    </row>
    <row r="1807" spans="8:8" ht="36" customHeight="1" x14ac:dyDescent="0.25">
      <c r="H1807" s="20"/>
    </row>
    <row r="1808" spans="8:8" ht="36" customHeight="1" x14ac:dyDescent="0.25">
      <c r="H1808" s="20"/>
    </row>
    <row r="1809" spans="8:8" ht="36" customHeight="1" x14ac:dyDescent="0.25">
      <c r="H1809" s="20"/>
    </row>
    <row r="1810" spans="8:8" ht="36" customHeight="1" x14ac:dyDescent="0.25">
      <c r="H1810" s="20"/>
    </row>
    <row r="1811" spans="8:8" ht="36" customHeight="1" x14ac:dyDescent="0.25">
      <c r="H1811" s="20"/>
    </row>
    <row r="1812" spans="8:8" ht="36" customHeight="1" x14ac:dyDescent="0.25">
      <c r="H1812" s="20"/>
    </row>
    <row r="1813" spans="8:8" ht="36" customHeight="1" x14ac:dyDescent="0.25">
      <c r="H1813" s="20"/>
    </row>
    <row r="1814" spans="8:8" ht="36" customHeight="1" x14ac:dyDescent="0.25">
      <c r="H1814" s="20"/>
    </row>
    <row r="1815" spans="8:8" ht="36" customHeight="1" x14ac:dyDescent="0.25">
      <c r="H1815" s="20"/>
    </row>
    <row r="1816" spans="8:8" ht="36" customHeight="1" x14ac:dyDescent="0.25">
      <c r="H1816" s="20"/>
    </row>
    <row r="1817" spans="8:8" ht="36" customHeight="1" x14ac:dyDescent="0.25">
      <c r="H1817" s="20"/>
    </row>
    <row r="1818" spans="8:8" ht="36" customHeight="1" x14ac:dyDescent="0.25">
      <c r="H1818" s="20"/>
    </row>
    <row r="1819" spans="8:8" ht="36" customHeight="1" x14ac:dyDescent="0.25">
      <c r="H1819" s="20"/>
    </row>
    <row r="1820" spans="8:8" ht="36" customHeight="1" x14ac:dyDescent="0.25">
      <c r="H1820" s="20"/>
    </row>
    <row r="1821" spans="8:8" ht="36" customHeight="1" x14ac:dyDescent="0.25">
      <c r="H1821" s="20"/>
    </row>
    <row r="1822" spans="8:8" ht="36" customHeight="1" x14ac:dyDescent="0.25">
      <c r="H1822" s="20"/>
    </row>
    <row r="1823" spans="8:8" ht="36" customHeight="1" x14ac:dyDescent="0.25">
      <c r="H1823" s="20"/>
    </row>
    <row r="1824" spans="8:8" ht="36" customHeight="1" x14ac:dyDescent="0.25">
      <c r="H1824" s="20"/>
    </row>
    <row r="1825" spans="8:8" ht="36" customHeight="1" x14ac:dyDescent="0.25">
      <c r="H1825" s="20"/>
    </row>
    <row r="1826" spans="8:8" ht="36" customHeight="1" x14ac:dyDescent="0.25">
      <c r="H1826" s="20"/>
    </row>
    <row r="1827" spans="8:8" ht="36" customHeight="1" x14ac:dyDescent="0.25">
      <c r="H1827" s="20"/>
    </row>
    <row r="1828" spans="8:8" ht="36" customHeight="1" x14ac:dyDescent="0.25">
      <c r="H1828" s="20"/>
    </row>
    <row r="1829" spans="8:8" ht="36" customHeight="1" x14ac:dyDescent="0.25">
      <c r="H1829" s="20"/>
    </row>
    <row r="1830" spans="8:8" ht="36" customHeight="1" x14ac:dyDescent="0.25">
      <c r="H1830" s="20"/>
    </row>
    <row r="1831" spans="8:8" ht="36" customHeight="1" x14ac:dyDescent="0.25">
      <c r="H1831" s="20"/>
    </row>
    <row r="1832" spans="8:8" ht="36" customHeight="1" x14ac:dyDescent="0.25">
      <c r="H1832" s="20"/>
    </row>
    <row r="1833" spans="8:8" ht="36" customHeight="1" x14ac:dyDescent="0.25">
      <c r="H1833" s="20"/>
    </row>
    <row r="1834" spans="8:8" ht="36" customHeight="1" x14ac:dyDescent="0.25">
      <c r="H1834" s="20"/>
    </row>
    <row r="1835" spans="8:8" ht="36" customHeight="1" x14ac:dyDescent="0.25">
      <c r="H1835" s="20"/>
    </row>
    <row r="1836" spans="8:8" ht="36" customHeight="1" x14ac:dyDescent="0.25">
      <c r="H1836" s="20"/>
    </row>
    <row r="1837" spans="8:8" ht="36" customHeight="1" x14ac:dyDescent="0.25">
      <c r="H1837" s="20"/>
    </row>
    <row r="1838" spans="8:8" ht="36" customHeight="1" x14ac:dyDescent="0.25">
      <c r="H1838" s="20"/>
    </row>
    <row r="1839" spans="8:8" ht="36" customHeight="1" x14ac:dyDescent="0.25">
      <c r="H1839" s="20"/>
    </row>
    <row r="1840" spans="8:8" ht="36" customHeight="1" x14ac:dyDescent="0.25">
      <c r="H1840" s="20"/>
    </row>
    <row r="1841" spans="8:8" ht="36" customHeight="1" x14ac:dyDescent="0.25">
      <c r="H1841" s="20"/>
    </row>
    <row r="1842" spans="8:8" ht="36" customHeight="1" x14ac:dyDescent="0.25">
      <c r="H1842" s="20"/>
    </row>
    <row r="1843" spans="8:8" ht="36" customHeight="1" x14ac:dyDescent="0.25">
      <c r="H1843" s="20"/>
    </row>
    <row r="1844" spans="8:8" ht="36" customHeight="1" x14ac:dyDescent="0.25">
      <c r="H1844" s="20"/>
    </row>
    <row r="1845" spans="8:8" ht="36" customHeight="1" x14ac:dyDescent="0.25">
      <c r="H1845" s="20"/>
    </row>
    <row r="1846" spans="8:8" ht="36" customHeight="1" x14ac:dyDescent="0.25">
      <c r="H1846" s="20"/>
    </row>
    <row r="1847" spans="8:8" ht="36" customHeight="1" x14ac:dyDescent="0.25">
      <c r="H1847" s="20"/>
    </row>
    <row r="1848" spans="8:8" ht="36" customHeight="1" x14ac:dyDescent="0.25">
      <c r="H1848" s="20"/>
    </row>
    <row r="1849" spans="8:8" ht="36" customHeight="1" x14ac:dyDescent="0.25">
      <c r="H1849" s="20"/>
    </row>
    <row r="1850" spans="8:8" ht="36" customHeight="1" x14ac:dyDescent="0.25">
      <c r="H1850" s="20"/>
    </row>
    <row r="1851" spans="8:8" ht="36" customHeight="1" x14ac:dyDescent="0.25">
      <c r="H1851" s="20"/>
    </row>
    <row r="1852" spans="8:8" ht="36" customHeight="1" x14ac:dyDescent="0.25">
      <c r="H1852" s="20"/>
    </row>
    <row r="1853" spans="8:8" ht="36" customHeight="1" x14ac:dyDescent="0.25">
      <c r="H1853" s="20"/>
    </row>
    <row r="1854" spans="8:8" ht="36" customHeight="1" x14ac:dyDescent="0.25">
      <c r="H1854" s="20"/>
    </row>
    <row r="1855" spans="8:8" ht="36" customHeight="1" x14ac:dyDescent="0.25">
      <c r="H1855" s="20"/>
    </row>
    <row r="1856" spans="8:8" ht="36" customHeight="1" x14ac:dyDescent="0.25">
      <c r="H1856" s="20"/>
    </row>
    <row r="1857" spans="8:8" ht="36" customHeight="1" x14ac:dyDescent="0.25">
      <c r="H1857" s="20"/>
    </row>
    <row r="1858" spans="8:8" ht="36" customHeight="1" x14ac:dyDescent="0.25">
      <c r="H1858" s="20"/>
    </row>
    <row r="1859" spans="8:8" ht="36" customHeight="1" x14ac:dyDescent="0.25">
      <c r="H1859" s="20"/>
    </row>
    <row r="1860" spans="8:8" ht="36" customHeight="1" x14ac:dyDescent="0.25">
      <c r="H1860" s="20"/>
    </row>
    <row r="1861" spans="8:8" ht="36" customHeight="1" x14ac:dyDescent="0.25">
      <c r="H1861" s="20"/>
    </row>
    <row r="1862" spans="8:8" ht="36" customHeight="1" x14ac:dyDescent="0.25">
      <c r="H1862" s="20"/>
    </row>
    <row r="1863" spans="8:8" ht="36" customHeight="1" x14ac:dyDescent="0.25">
      <c r="H1863" s="20"/>
    </row>
    <row r="1864" spans="8:8" ht="36" customHeight="1" x14ac:dyDescent="0.25">
      <c r="H1864" s="20"/>
    </row>
    <row r="1865" spans="8:8" ht="36" customHeight="1" x14ac:dyDescent="0.25">
      <c r="H1865" s="20"/>
    </row>
    <row r="1866" spans="8:8" ht="36" customHeight="1" x14ac:dyDescent="0.25">
      <c r="H1866" s="20"/>
    </row>
    <row r="1867" spans="8:8" ht="36" customHeight="1" x14ac:dyDescent="0.25">
      <c r="H1867" s="20"/>
    </row>
    <row r="1868" spans="8:8" ht="36" customHeight="1" x14ac:dyDescent="0.25">
      <c r="H1868" s="20"/>
    </row>
    <row r="1869" spans="8:8" ht="36" customHeight="1" x14ac:dyDescent="0.25">
      <c r="H1869" s="20"/>
    </row>
    <row r="1870" spans="8:8" ht="36" customHeight="1" x14ac:dyDescent="0.25">
      <c r="H1870" s="20"/>
    </row>
    <row r="1871" spans="8:8" ht="36" customHeight="1" x14ac:dyDescent="0.25">
      <c r="H1871" s="20"/>
    </row>
    <row r="1872" spans="8:8" ht="36" customHeight="1" x14ac:dyDescent="0.25">
      <c r="H1872" s="20"/>
    </row>
    <row r="1873" spans="8:8" ht="36" customHeight="1" x14ac:dyDescent="0.25">
      <c r="H1873" s="20"/>
    </row>
    <row r="1874" spans="8:8" ht="36" customHeight="1" x14ac:dyDescent="0.25">
      <c r="H1874" s="20"/>
    </row>
    <row r="1875" spans="8:8" ht="36" customHeight="1" x14ac:dyDescent="0.25">
      <c r="H1875" s="20"/>
    </row>
  </sheetData>
  <mergeCells count="36">
    <mergeCell ref="L6:L9"/>
    <mergeCell ref="A6:A9"/>
    <mergeCell ref="B6:B9"/>
    <mergeCell ref="C6:C9"/>
    <mergeCell ref="D6:D9"/>
    <mergeCell ref="E6:E9"/>
    <mergeCell ref="F6:F9"/>
    <mergeCell ref="G6:G9"/>
    <mergeCell ref="H6:H9"/>
    <mergeCell ref="I6:I9"/>
    <mergeCell ref="J6:J9"/>
    <mergeCell ref="K6:K9"/>
    <mergeCell ref="X6:X9"/>
    <mergeCell ref="M6:M9"/>
    <mergeCell ref="N6:N9"/>
    <mergeCell ref="O6:O9"/>
    <mergeCell ref="P6:P9"/>
    <mergeCell ref="Q6:Q9"/>
    <mergeCell ref="R6:R9"/>
    <mergeCell ref="S6:S9"/>
    <mergeCell ref="T6:T9"/>
    <mergeCell ref="U6:U9"/>
    <mergeCell ref="V6:V9"/>
    <mergeCell ref="W6:W9"/>
    <mergeCell ref="AJ6:AJ9"/>
    <mergeCell ref="Y6:Y9"/>
    <mergeCell ref="Z6:Z9"/>
    <mergeCell ref="AA6:AA9"/>
    <mergeCell ref="AB6:AB9"/>
    <mergeCell ref="AC6:AC9"/>
    <mergeCell ref="AD6:AD9"/>
    <mergeCell ref="AE6:AE9"/>
    <mergeCell ref="AF6:AF9"/>
    <mergeCell ref="AG6:AG9"/>
    <mergeCell ref="AH6:AH9"/>
    <mergeCell ref="AI6:AI9"/>
  </mergeCells>
  <phoneticPr fontId="15" type="noConversion"/>
  <conditionalFormatting sqref="AJ10:AJ172">
    <cfRule type="containsText" dxfId="1" priority="1" operator="containsText" text="Hold Shipment">
      <formula>NOT(ISERROR(SEARCH("Hold Shipment",AJ10)))</formula>
    </cfRule>
  </conditionalFormatting>
  <hyperlinks>
    <hyperlink ref="J28" r:id="rId1" display="111683" xr:uid="{2133BFEE-2EF0-460C-88B8-488145E919C4}"/>
    <hyperlink ref="B105" r:id="rId2" display="../../../" xr:uid="{24FC556E-EB8B-4FF1-BD9D-0F0A3F34D2B5}"/>
    <hyperlink ref="J105" r:id="rId3" display="111568" xr:uid="{D0691781-33CB-4411-B018-A654EAF4076E}"/>
    <hyperlink ref="B106" r:id="rId4" display="../../../" xr:uid="{142D7AB1-BAFF-4291-8C28-CC2A24043CE3}"/>
    <hyperlink ref="J106" r:id="rId5" display="111568" xr:uid="{67C20418-234C-4102-A4ED-5A7EA231245A}"/>
    <hyperlink ref="B6:B9" r:id="rId6" location="view/Microsoft_Azure_Storage/ContainerMenuBlade/~/overview/storageAccountId/%2Fsubscriptions%2F2e00955e-f2b4-4dc8-a4a1-1f72313ae6c2%2FresourceGroups%2FBWCP-BWDG-PROD-ARCHIVE%2Fproviders%2FMicrosoft.Storage%2FstorageAccounts%2Fbwdgarchive/path/bwdgarchive/etag/%220x8D8979C12A722BC%22/defaultEncryptionScope/%24account-encryption-key/denyEncryptionScopeOverride~/false/defaultId//publicAccessVal/None" display="PROJECT NUMBER" xr:uid="{ED9851A1-23CC-402C-B027-AFAC64AF3449}"/>
    <hyperlink ref="J31" r:id="rId7" display="https://bwdgkace01.bwdesigngroup.com/userui/ticket.php?ID=111720" xr:uid="{1FF5EF8F-295C-4618-BD55-8A69D2CD43F8}"/>
    <hyperlink ref="B81" r:id="rId8" display="../../../" xr:uid="{D6C7BC2C-D252-41CB-AD95-A12BAB8283FC}"/>
    <hyperlink ref="J81" r:id="rId9" display="https://bwdgkace01.bwdesigngroup.com/userui/ticket.php?ID=111804" xr:uid="{6B471905-BFA8-4996-93CF-AF7619166292}"/>
    <hyperlink ref="J25" r:id="rId10" display="https://bwdgkace01.bwdesigngroup.com/userui/ticket.php?ID=111362" xr:uid="{620F71A6-9039-488B-935C-AB4692DA1C00}"/>
    <hyperlink ref="B25" r:id="rId11" display="../../../" xr:uid="{4CC10542-A2B1-4A56-A8FC-8A9E0757E610}"/>
    <hyperlink ref="J12" r:id="rId12" display="https://bwdgkace01.bwdesigngroup.com/userui/ticket.php?ID=105531" xr:uid="{4CE81DA5-6502-4A76-BF6E-54AFC19C5551}"/>
    <hyperlink ref="B19" r:id="rId13" display="../../../" xr:uid="{E4AC58B1-F3B8-40DA-AEF2-49E0741C6C31}"/>
    <hyperlink ref="J19" r:id="rId14" display="https://bwdgkace01.bwdesigngroup.com/userui/ticket.php?ID=110167" xr:uid="{A6A241A8-F1DC-4F76-8138-2D81E78C6230}"/>
    <hyperlink ref="B49" r:id="rId15" display="../../../" xr:uid="{D43E367E-AC37-47A6-B6E6-14046A821700}"/>
    <hyperlink ref="J49" r:id="rId16" display="https://bwdgkace01.bwdesigngroup.com/userui/ticket.php?ID=108573" xr:uid="{E7C3FACA-FCAA-4A58-A3DF-3E969445A0AC}"/>
    <hyperlink ref="J38" r:id="rId17" display="https://bwdgkace01.bwdesigngroup.com/userui/ticket.php?ID=1234" xr:uid="{F5878CBC-CFA0-44BC-9232-B2FC41670984}"/>
    <hyperlink ref="B34" r:id="rId18" display="../../../" xr:uid="{FE8D35FE-79C3-4C57-8AEA-0DE3F1C1223F}"/>
    <hyperlink ref="J34" r:id="rId19" display="https://bwdgkace01.bwdesigngroup.com/userui/ticket.php?ID=104451" xr:uid="{4C6847FA-416D-4D17-918D-7FC91B4DA30C}"/>
    <hyperlink ref="J13" r:id="rId20" display="https://bwdgkace01.bwdesigngroup.com/userui/ticket.php?ID=105721" xr:uid="{6EF75274-CF49-4840-A803-FD3EF0D51C24}"/>
    <hyperlink ref="B109" r:id="rId21" display="../../../" xr:uid="{B19D3B33-484A-4135-8D1B-4622CF32BC6A}"/>
    <hyperlink ref="J109" r:id="rId22" display="https://bwdgkace01.bwdesigngroup.com/userui/ticket.php?ID=107897" xr:uid="{116B4B57-F4AD-4AD3-A531-C2E294EC9257}"/>
    <hyperlink ref="J15" r:id="rId23" display="https://bwdgkace01.bwdesigngroup.com/userui/ticket.php?ID=107127" xr:uid="{B9CA4C01-4453-404A-B890-214F90308266}"/>
    <hyperlink ref="B96" r:id="rId24" display="../../../" xr:uid="{FFEE04D2-1EAD-4478-A3CA-7B80131A5060}"/>
    <hyperlink ref="J96" r:id="rId25" display="https://bwdgkace01.bwdesigngroup.com/userui/ticket.php?ID=110288" xr:uid="{BD7A3356-8A43-40B0-82F8-BA2404AB13C9}"/>
    <hyperlink ref="B20" r:id="rId26" display="../../../" xr:uid="{014E265F-150F-4035-9BE1-0DAFACE96A29}"/>
    <hyperlink ref="J20" r:id="rId27" display="https://bwdgkace01.bwdesigngroup.com/userui/ticket.php?ID=110921" xr:uid="{3BA0B3D1-7FD7-4930-A6AF-B1B6D3DF36C0}"/>
    <hyperlink ref="B100" r:id="rId28" display="../../../" xr:uid="{EF30AD01-64D9-4801-810F-3E088624CDFA}"/>
    <hyperlink ref="B101" r:id="rId29" display="../../../" xr:uid="{46BCB7F8-9181-4313-AE2C-95D6548BF840}"/>
    <hyperlink ref="J101" r:id="rId30" display="https://bwdgkace01.bwdesigngroup.com/userui/ticket.php?ID=92850" xr:uid="{49183999-C919-4BD0-A3A9-1D28FBAEF813}"/>
    <hyperlink ref="B18" r:id="rId31" display="../../../" xr:uid="{5FD5A16D-5375-4C3D-A218-E37D194ADB70}"/>
    <hyperlink ref="J18" r:id="rId32" display="https://bwdgkace01.bwdesigngroup.com/userui/ticket.php?ID=107758" xr:uid="{F214D469-3106-4E7A-9DDC-4FFDD4D1A48A}"/>
    <hyperlink ref="B36" r:id="rId33" display="../../../" xr:uid="{F1F9B925-51C0-4C94-B38C-8AD18D015A87}"/>
    <hyperlink ref="J36" r:id="rId34" display="https://bwdgkace01.bwdesigngroup.com/userui/ticket.php?ID=107045" xr:uid="{702CEEDE-910A-47D5-89A4-6BF220CC378E}"/>
    <hyperlink ref="J21" r:id="rId35" display="https://bwdgkace01.bwdesigngroup.com/userui/ticket.php?ID=97910" xr:uid="{57C579F1-097C-4BF1-A2F5-20C88D70FCE5}"/>
    <hyperlink ref="B22" r:id="rId36" display="../../../" xr:uid="{C7394A9E-C595-4E01-AEFD-D1DAC86CE7FD}"/>
    <hyperlink ref="J22" r:id="rId37" display="https://bwdgkace01.bwdesigngroup.com/userui/ticket.php?ID=111492" xr:uid="{AE807F58-C862-4B86-B5CB-BC11DC90458D}"/>
    <hyperlink ref="B26" r:id="rId38" display="../../../" xr:uid="{1F255444-7CA2-4CA6-8C0C-499523361CA8}"/>
    <hyperlink ref="J26" r:id="rId39" display="https://bwdgkace01.bwdesigngroup.com/userui/ticket.php?ID=111310" xr:uid="{355E4A29-A75B-4344-A3CF-D8E98B56C957}"/>
    <hyperlink ref="B89" r:id="rId40" display="../../../" xr:uid="{99D83E9A-3675-4330-A073-4B010AA24925}"/>
    <hyperlink ref="J89" r:id="rId41" display="https://bwdgkace01.bwdesigngroup.com/userui/ticket.php?ID=109648" xr:uid="{0D6502AA-BD6B-401D-9F2F-A983678066CC}"/>
    <hyperlink ref="J93" r:id="rId42" display="https://bwdgkace01.bwdesigngroup.com/userui/ticket.php?ID=111067" xr:uid="{73C84158-2DC7-4099-ACAE-1CEC42A43A22}"/>
    <hyperlink ref="B48" r:id="rId43" display="../../../" xr:uid="{93CD56DE-A0EF-464B-B106-C6B9F63FB9B0}"/>
    <hyperlink ref="J48" r:id="rId44" display="https://bwdgkace01.bwdesigngroup.com/userui/ticket.php?ID=109870" xr:uid="{3EDD5F0E-BA4F-4D50-97E6-272F453E15CB}"/>
    <hyperlink ref="B90" r:id="rId45" display="../../../" xr:uid="{012343D5-D050-42F6-8E80-9609A52D970D}"/>
    <hyperlink ref="J90" r:id="rId46" display="https://bwdgkace01.bwdesigngroup.com/userui/ticket.php?ID=107127" xr:uid="{D922EB13-E329-4B89-8BB0-264E7C019B97}"/>
    <hyperlink ref="J107" r:id="rId47" display="https://bwdgkace01.bwdesigngroup.com/userui/ticket.php?ID=111068" xr:uid="{6420B7E7-BD2E-4890-9635-0AC03BBEBECC}"/>
    <hyperlink ref="J108" r:id="rId48" display="https://bwdgkace01.bwdesigngroup.com/userui/ticket.php?ID=111069" xr:uid="{751EF4E8-7272-4C31-9134-73F4ED0499C3}"/>
    <hyperlink ref="B64" r:id="rId49" display="../../../" xr:uid="{2CD94BAC-3FBA-4611-BBC1-EC9C8078DF88}"/>
    <hyperlink ref="J64" r:id="rId50" display="https://bwdgkace01.bwdesigngroup.com/userui/ticket.php?ID=109159" xr:uid="{0BAFD632-4742-484C-87F8-ABF3C769B7E3}"/>
    <hyperlink ref="B65" r:id="rId51" display="../../../" xr:uid="{82334787-2F8C-4508-8F22-D1CBF59110D3}"/>
    <hyperlink ref="J65" r:id="rId52" display="https://bwdgkace01.bwdesigngroup.com/userui/ticket.php?ID=109159" xr:uid="{96C4F0A9-011D-4B4D-91A5-780C1CA409B9}"/>
    <hyperlink ref="B66" r:id="rId53" display="../../../" xr:uid="{32981210-22B3-44E0-A98B-CC0268F3E16B}"/>
    <hyperlink ref="J66" r:id="rId54" display="https://bwdgkace01.bwdesigngroup.com/userui/ticket.php?ID=111491" xr:uid="{CE94D441-1EA8-43E7-9644-0A58104E1E08}"/>
    <hyperlink ref="B62" r:id="rId55" display="../../../" xr:uid="{BA0CCEB6-39AB-4168-91E7-9D38054E1FDE}"/>
    <hyperlink ref="J70" r:id="rId56" display="https://bwdgkace01.bwdesigngroup.com/userui/ticket.php?ID=111084" xr:uid="{09BBEDFB-6729-4D92-9149-6DDE6BA9CC99}"/>
    <hyperlink ref="J134" r:id="rId57" display="https://bwdgkace01.bwdesigngroup.com/userui/ticket.php?ID=111085" xr:uid="{DF307F6E-A881-4C07-9AC8-2C0AC08F5B64}"/>
    <hyperlink ref="B29" r:id="rId58" display="../../../" xr:uid="{9ECEBEBD-9884-417D-AC7D-72D6DAF014A7}"/>
    <hyperlink ref="J29" r:id="rId59" display="https://bwdgkace01.bwdesigngroup.com/userui/ticket.php?ID=110320" xr:uid="{FC206BC2-B46A-4DFC-8336-72788A02BFB4}"/>
    <hyperlink ref="J121" r:id="rId60" display="https://bwdgkace01.bwdesigngroup.com/userui/ticket.php?ID=111070" xr:uid="{A9CFDC1D-7C18-4318-A249-56B7AC94D8C7}"/>
    <hyperlink ref="J122" r:id="rId61" display="https://bwdgkace01.bwdesigngroup.com/userui/ticket.php?ID=111071" xr:uid="{AADACA0E-B5EB-4FCE-9717-94E04CB2033C}"/>
    <hyperlink ref="J137" r:id="rId62" display="https://bwdgkace01.bwdesigngroup.com/userui/ticket.php?ID=111086" xr:uid="{E3517CB6-13E9-4AED-AFE6-154BB5F1A7DF}"/>
    <hyperlink ref="J78" r:id="rId63" display="https://bwdgkace01.bwdesigngroup.com/userui/ticket.php?ID=106009" xr:uid="{73A757C3-D8EF-44EE-8653-30759C948857}"/>
    <hyperlink ref="J132" r:id="rId64" display="https://bwdgkace01.bwdesigngroup.com/userui/ticket.php?ID=111072" xr:uid="{7905D258-2A85-4669-835E-A9E140B1EFDB}"/>
    <hyperlink ref="J133" r:id="rId65" display="https://bwdgkace01.bwdesigngroup.com/userui/ticket.php?ID=111073" xr:uid="{4472945E-91FC-4FF8-8A69-8FD3A3E0E7C4}"/>
    <hyperlink ref="J148" r:id="rId66" display="https://bwdgkace01.bwdesigngroup.com/userui/ticket.php?ID=111087" xr:uid="{986E5B40-BF58-47E5-B6FE-FE1C12B9B3CB}"/>
    <hyperlink ref="J149" r:id="rId67" display="https://bwdgkace01.bwdesigngroup.com/userui/ticket.php?ID=111088" xr:uid="{2B68F2B7-F9FB-44B7-A069-ECBF8933E13E}"/>
    <hyperlink ref="B30" r:id="rId68" display="../../../" xr:uid="{49C6CD77-DA5B-4385-BA8F-C671A07276D3}"/>
    <hyperlink ref="J30" r:id="rId69" display="https://bwdgkace01.bwdesigngroup.com/userui/ticket.php?ID=107543" xr:uid="{665F31CF-D683-47A7-B7EE-2DB8DADC7EB6}"/>
    <hyperlink ref="B97" r:id="rId70" display="../../../" xr:uid="{F35B106A-2688-4A0E-BF85-2EFB95C99C49}"/>
    <hyperlink ref="J97" r:id="rId71" display="https://bwdgkace01.bwdesigngroup.com/userui/ticket.php?ID=107544" xr:uid="{8A004E49-5826-489D-B911-E3E4FDC87094}"/>
    <hyperlink ref="J136" r:id="rId72" display="https://bwdgkace01.bwdesigngroup.com/userui/ticket.php?ID=111075" xr:uid="{55B916C6-C6F1-46FF-8CB3-7C1460F05002}"/>
    <hyperlink ref="J112" r:id="rId73" display="https://bwdgkace01.bwdesigngroup.com/userui/ticket.php?ID=111089" xr:uid="{5A6C53EE-31B6-44B0-AF6C-09C81D1050FB}"/>
    <hyperlink ref="J154" r:id="rId74" display="https://bwdgkace01.bwdesigngroup.com/userui/ticket.php?ID=111090" xr:uid="{8C054892-0901-42C2-8D9F-EA8FAF2F5E90}"/>
    <hyperlink ref="J147" r:id="rId75" display="https://bwdgkace01.bwdesigngroup.com/userui/ticket.php?ID=111076" xr:uid="{3A8F1E4F-2B29-45CE-8982-AB7FE4C65F2A}"/>
    <hyperlink ref="B145" r:id="rId76" display="../../../" xr:uid="{76A08CB6-35B9-4306-8A41-306EF4CB5BA0}"/>
    <hyperlink ref="J145" r:id="rId77" display="https://bwdgkace01.bwdesigngroup.com/userui/ticket.php?ID=107545" xr:uid="{FA5C0941-3BAA-4874-82BB-69BBD3303D60}"/>
    <hyperlink ref="B146" r:id="rId78" display="../../../" xr:uid="{724ED957-E045-4E58-A4C5-3C5D39A2B255}"/>
    <hyperlink ref="J146" r:id="rId79" display="https://bwdgkace01.bwdesigngroup.com/userui/ticket.php?ID=107547" xr:uid="{A9D65E67-F357-419D-B70A-500EDE0057F7}"/>
    <hyperlink ref="B165" r:id="rId80" display="../../../" xr:uid="{90431BBB-940A-4017-9857-A9C78118431B}"/>
    <hyperlink ref="J165" r:id="rId81" display="https://bwdgkace01.bwdesigngroup.com/userui/ticket.php?ID=107548" xr:uid="{EDC471F8-F318-40AD-B5D5-17B66CD48362}"/>
    <hyperlink ref="B166" r:id="rId82" display="../../../" xr:uid="{B2A224FD-C727-46C4-9A3F-2BB8F0325F1D}"/>
    <hyperlink ref="J166" r:id="rId83" display="https://bwdgkace01.bwdesigngroup.com/userui/ticket.php?ID=107549" xr:uid="{8170D8E0-7661-4C8F-89EC-351C61E9289F}"/>
    <hyperlink ref="B167" r:id="rId84" display="../../../" xr:uid="{F627C855-9B5F-412A-8879-6D7F574AD2E8}"/>
    <hyperlink ref="J167" r:id="rId85" display="https://bwdgkace01.bwdesigngroup.com/userui/ticket.php?ID=107550" xr:uid="{BA84DB83-992B-4DB5-9B6B-CD09F599C9AA}"/>
    <hyperlink ref="J104" r:id="rId86" display="https://bwdgkace01.bwdesigngroup.com/userui/ticket.php?ID=106009" xr:uid="{585ED8C9-DD55-4585-9D07-B8887A6CD1DC}"/>
    <hyperlink ref="B38" r:id="rId87" display="../../../" xr:uid="{28F817AF-A364-4E86-A7DD-CCCFFC13F452}"/>
    <hyperlink ref="J100" r:id="rId88" display="https://bwdgkace01.bwdesigngroup.com/userui/ticket.php?ID=92849" xr:uid="{CA3E92FE-B95D-4632-BDB7-4DB381D07427}"/>
    <hyperlink ref="J123" r:id="rId89" display="https://bwdgkace01.bwdesigngroup.com/userui/ticket.php?ID=111083" xr:uid="{1322DB2D-E713-4DD9-AC37-4D2B726DBC56}"/>
    <hyperlink ref="J62" r:id="rId90" display="https://bwdgkace01.bwdesigngroup.com/userui/ticket.php?ID=111491" xr:uid="{4D926687-8689-440E-8136-12A034B02A72}"/>
    <hyperlink ref="J135" r:id="rId91" display="https://bwdgkace01.bwdesigngroup.com/userui/ticket.php?ID=111074" xr:uid="{A198D287-E479-47FC-8A0E-0C77F0405103}"/>
    <hyperlink ref="B24" r:id="rId92" display="../../../" xr:uid="{3ED76AA7-388C-40FF-B090-917B495039B6}"/>
    <hyperlink ref="J24" r:id="rId93" display="https://bwdgkace01.bwdesigngroup.com/userui/ticket.php?ID=112277" xr:uid="{6431FA83-6AE1-4D12-BA2D-A0C46B6B8E1C}"/>
    <hyperlink ref="B11" r:id="rId94" display="../../../" xr:uid="{D76B8EAF-6256-4F87-9F2B-61524BD9C713}"/>
    <hyperlink ref="J11" r:id="rId95" display="https://bwdgkace01.bwdesigngroup.com/userui/ticket.php?ID=112510" xr:uid="{26F1F91C-EA98-4C9D-B0B8-E3E23BB8F27D}"/>
    <hyperlink ref="B14" r:id="rId96" display="../../../" xr:uid="{FBB7D676-106A-4800-854A-8C72FF3A36BA}"/>
    <hyperlink ref="J14" r:id="rId97" display="https://bwdgkace01.bwdesigngroup.com/userui/ticket.php?ID=112527" xr:uid="{8C0433F9-C9AE-4316-A2B2-4437B1321B35}"/>
    <hyperlink ref="B84" r:id="rId98" display="../../../" xr:uid="{586797FD-F82D-46D2-98BB-F462324040A4}"/>
    <hyperlink ref="J84" r:id="rId99" display="https://bwdgkace01.bwdesigngroup.com/userui/ticket.php?ID=112542" xr:uid="{9F29AF40-49E5-4657-A2E2-6E090C8BA1E1}"/>
    <hyperlink ref="J85" r:id="rId100" display="https://bwdgkace01.bwdesigngroup.com/userui/ticket.php?ID=112543" xr:uid="{9CE39D02-EBB4-41C9-A6AA-34797CF22E33}"/>
    <hyperlink ref="J42" r:id="rId101" display="https://bwdgkace01.bwdesigngroup.com/userui/ticket.php?ID=112669" xr:uid="{11257B00-2311-4B38-A231-DD06C2F9661B}"/>
    <hyperlink ref="J71" r:id="rId102" display="https://bwdgkace01.bwdesigngroup.com/userui/ticket.php?ID=112671" xr:uid="{05F03C0C-8B19-4C4E-987F-9CAF17EEFEA8}"/>
    <hyperlink ref="J72" r:id="rId103" display="https://bwdgkace01.bwdesigngroup.com/userui/ticket.php?ID=112672" xr:uid="{76413F4F-8E8C-46BB-853E-751D961197C3}"/>
    <hyperlink ref="J94" r:id="rId104" display="https://bwdgkace01.bwdesigngroup.com/userui/ticket.php?ID=112673" xr:uid="{175FA47C-910E-480E-AF96-BFE9E524AF22}"/>
    <hyperlink ref="J95" r:id="rId105" display="https://bwdgkace01.bwdesigngroup.com/userui/ticket.php?ID=112674" xr:uid="{344DA807-C6D9-4057-A17F-8E05B82CA4FC}"/>
    <hyperlink ref="J113" r:id="rId106" display="https://bwdgkace01.bwdesigngroup.com/userui/ticket.php?ID=112675" xr:uid="{92FFAC68-79F0-40EE-AA99-170F86179EEB}"/>
    <hyperlink ref="J114" r:id="rId107" display="https://bwdgkace01.bwdesigngroup.com/userui/ticket.php?ID=112676" xr:uid="{112F2F4F-5F17-459A-8B17-5FAAEC5302CD}"/>
    <hyperlink ref="J126" r:id="rId108" display="https://bwdgkace01.bwdesigngroup.com/userui/ticket.php?ID=112677" xr:uid="{7D972912-6B6B-451D-9622-E0A5BFB38814}"/>
    <hyperlink ref="J127" r:id="rId109" display="https://bwdgkace01.bwdesigngroup.com/userui/ticket.php?ID=112678" xr:uid="{8870D030-E0AC-436F-81E6-F65D60A770AA}"/>
    <hyperlink ref="J138" r:id="rId110" display="https://bwdgkace01.bwdesigngroup.com/userui/ticket.php?ID=112679" xr:uid="{B773AC73-E821-4CC8-8420-11FE5C31163D}"/>
    <hyperlink ref="J139" r:id="rId111" display="https://bwdgkace01.bwdesigngroup.com/userui/ticket.php?ID=112680" xr:uid="{C46B4FDA-7A9E-44C2-9759-3D9CD8CEB1EF}"/>
    <hyperlink ref="J60" r:id="rId112" display="https://bwdgkace01.bwdesigngroup.com/userui/ticket.php?ID=112756" xr:uid="{463C95A3-4321-48C9-B0C5-8C10DF530F6B}"/>
    <hyperlink ref="B58" r:id="rId113" display="../../../" xr:uid="{7CF7E23C-E18F-42EC-95E8-03A4792932D4}"/>
    <hyperlink ref="J58" r:id="rId114" display="https://bwdgkace01.bwdesigngroup.com/userui/ticket.php?ID=112879" xr:uid="{3AB8ED88-FA75-4AF5-844A-E0786A8EDA49}"/>
    <hyperlink ref="J45" r:id="rId115" display="https://bwdgkace01.bwdesigngroup.com/userui/ticket.php?ID=112976" xr:uid="{F46595FC-75CC-44E0-BA69-2BC92CCF38AE}"/>
    <hyperlink ref="J55" r:id="rId116" display="https://bwdgkace01.bwdesigngroup.com/userui/ticket.php?ID=112977" xr:uid="{933F4C93-2D37-4082-9808-697B0ABD0E53}"/>
    <hyperlink ref="J68" r:id="rId117" display="https://bwdgkace01.bwdesigngroup.com/userui/ticket.php?ID=112978" xr:uid="{C8AAC034-1CFC-45CC-B306-0F746959DEA7}"/>
    <hyperlink ref="J69" r:id="rId118" display="https://bwdgkace01.bwdesigngroup.com/userui/ticket.php?ID=112980" xr:uid="{F14752DE-D2EE-42AA-B6FD-07AED41E7685}"/>
    <hyperlink ref="J91" r:id="rId119" display="https://bwdgkace01.bwdesigngroup.com/userui/ticket.php?ID=112981" xr:uid="{150454BF-A8CF-4972-96AE-4CB82E168F5C}"/>
    <hyperlink ref="J92" r:id="rId120" display="https://bwdgkace01.bwdesigngroup.com/userui/ticket.php?ID=112982" xr:uid="{FE60D5C9-A038-42D9-8032-20F6765CA631}"/>
    <hyperlink ref="J110" r:id="rId121" display="https://bwdgkace01.bwdesigngroup.com/userui/ticket.php?ID=112983" xr:uid="{9D43DA95-023A-43B0-90F9-631C483DDBB1}"/>
    <hyperlink ref="J111" r:id="rId122" display="https://bwdgkace01.bwdesigngroup.com/userui/ticket.php?ID=112984" xr:uid="{1340E37C-AA43-4C76-B253-9B205B2B67FB}"/>
    <hyperlink ref="B60" r:id="rId123" display="../../../" xr:uid="{09D1E4CC-A603-4EA6-BAE7-F722D5330FA0}"/>
    <hyperlink ref="B53" r:id="rId124" display="../../../" xr:uid="{86886E94-87E4-4042-BCC2-06BEB5A83F7D}"/>
    <hyperlink ref="J53" r:id="rId125" display="https://bwdgkace01.bwdesigngroup.com/userui/ticket.php?ID=113029" xr:uid="{7C4664BF-EDDE-4073-A9C6-B841444E5C33}"/>
    <hyperlink ref="B27" r:id="rId126" display="../../../" xr:uid="{D32CB6DE-2AF6-4866-BED7-137B6290371B}"/>
    <hyperlink ref="J27" r:id="rId127" display="https://bwdgkace01.bwdesigngroup.com/userui/ticket.php?ID=113074" xr:uid="{2A586B08-3EA4-4DC3-92F5-CD5730B3B00E}"/>
    <hyperlink ref="B37" r:id="rId128" display="../../../" xr:uid="{2D92B7D8-FFC4-44AB-A0CA-E0274D0308C5}"/>
    <hyperlink ref="J37" r:id="rId129" display="https://bwdgkace01.bwdesigngroup.com/userui/ticket.php?ID=113083" xr:uid="{4461F0CB-C0F8-463A-BAB2-C7B931164A1C}"/>
    <hyperlink ref="B21" r:id="rId130" display="../../../" xr:uid="{9D8414D5-6525-4591-AE3B-C25807DC0109}"/>
    <hyperlink ref="J50" r:id="rId131" display="https://bwdgkace01.bwdesigngroup.com/userui/ticket.php?ID=111683" xr:uid="{F20D8277-4E29-49CB-B642-9387D88A2B3C}"/>
    <hyperlink ref="J51" r:id="rId132" display="https://bwdgkace01.bwdesigngroup.com/userui/ticket.php?ID=111720" xr:uid="{16507BB7-65D1-49B4-90E1-B6426D38E3C2}"/>
    <hyperlink ref="J86" r:id="rId133" display="https://bwdgkace01.bwdesigngroup.com/userui/ticket.php?ID=111683" xr:uid="{6FDE56C4-C679-4029-9A57-25AFFA1813FA}"/>
    <hyperlink ref="J88" r:id="rId134" display="https://bwdgkace01.bwdesigngroup.com/userui/ticket.php?ID=111720" xr:uid="{5DA0CE44-DFCD-48E6-8EA4-0062A7A558C1}"/>
    <hyperlink ref="J115" r:id="rId135" display="https://bwdgkace01.bwdesigngroup.com/userui/ticket.php?ID=111683" xr:uid="{B8683891-E60A-4499-A567-57E6E355A124}"/>
    <hyperlink ref="J129" r:id="rId136" display="https://bwdgkace01.bwdesigngroup.com/userui/ticket.php?ID=111683" xr:uid="{15AC5EBE-59F6-46A5-93F2-781BD53EB0C6}"/>
    <hyperlink ref="J117" r:id="rId137" display="https://bwdgkace01.bwdesigngroup.com/userui/ticket.php?ID=111720" xr:uid="{0FC28E10-9E3C-4679-89DC-C52374DABB87}"/>
    <hyperlink ref="J128" r:id="rId138" display="https://bwdgkace01.bwdesigngroup.com/userui/ticket.php?ID=111720" xr:uid="{33BD6F49-170F-4C93-81CB-E48B994B2594}"/>
    <hyperlink ref="J56" r:id="rId139" display="https://bwdgkace01.bwdesigngroup.com/userui/ticket.php?ID=112670" xr:uid="{C6000D84-71F6-40D2-B361-2D6AF376934C}"/>
    <hyperlink ref="B42" r:id="rId140" display="../../../" xr:uid="{084ACCBD-B77A-4928-8D00-7429EB43BFEB}"/>
    <hyperlink ref="B56" r:id="rId141" display="../../../" xr:uid="{6191AE3F-132D-4C9C-9040-82F78854DA7C}"/>
    <hyperlink ref="B71" r:id="rId142" display="../../../" xr:uid="{DD70AB9B-AAFE-48B3-AAA3-4E88E69E9CA7}"/>
    <hyperlink ref="B72" r:id="rId143" display="../../../" xr:uid="{700E6D0C-81FF-4806-B050-1B9EE20ECE6E}"/>
    <hyperlink ref="B94" r:id="rId144" display="../../../" xr:uid="{A904C38B-091A-4510-A574-3DB431297F84}"/>
    <hyperlink ref="B95" r:id="rId145" display="../../../" xr:uid="{355CB449-0BFD-43FA-9AE1-EF8D685F896C}"/>
    <hyperlink ref="B113" r:id="rId146" display="../../../" xr:uid="{0B7CC003-BA6B-4428-903C-F2BF2656EFFE}"/>
    <hyperlink ref="B114" r:id="rId147" display="../../../" xr:uid="{7FA9D8B9-F8EC-4C53-8456-BA967A89F3A8}"/>
    <hyperlink ref="B126" r:id="rId148" display="../../../" xr:uid="{A3DBF9F0-77CB-46F3-9494-E9D62D666D43}"/>
    <hyperlink ref="B127" r:id="rId149" display="../../../" xr:uid="{6EB8500E-AB97-4BDB-9542-F8412898FA94}"/>
    <hyperlink ref="B138" r:id="rId150" display="../../../" xr:uid="{DFEB5CFF-2497-40BF-B3C2-8B4EC10C12F1}"/>
    <hyperlink ref="B139" r:id="rId151" display="../../../" xr:uid="{ED9E603C-9D93-47FB-85FD-4AC498A4A72B}"/>
    <hyperlink ref="B93" r:id="rId152" display="../../../" xr:uid="{349F88AA-1144-4C0A-B26E-0EDCE730EE7D}"/>
    <hyperlink ref="B107" r:id="rId153" display="../../../" xr:uid="{D434D1E9-4FE5-4A8D-928F-695BFB6ACD96}"/>
    <hyperlink ref="B108" r:id="rId154" display="../../../" xr:uid="{5D9374FF-03FA-4ABA-A6D5-0624DD377498}"/>
    <hyperlink ref="B121" r:id="rId155" display="../../../" xr:uid="{80C14884-1987-4639-B9C0-85E67DC35337}"/>
    <hyperlink ref="B122" r:id="rId156" display="../../../" xr:uid="{800DDDBB-9C0E-4399-AE35-06594A922DE8}"/>
    <hyperlink ref="B132" r:id="rId157" display="../../../" xr:uid="{C84A9CA3-4945-4467-895C-BAB6686103C2}"/>
    <hyperlink ref="B133" r:id="rId158" display="../../../" xr:uid="{470F8F07-898D-46E9-9ED9-08148859424E}"/>
    <hyperlink ref="B135" r:id="rId159" display="../../../" xr:uid="{1D3A4109-5B4C-4C66-8BFD-02C6A5525720}"/>
    <hyperlink ref="B136" r:id="rId160" display="../../../" xr:uid="{3CAEF531-4487-42C1-B4DC-EEC5540E90BD}"/>
    <hyperlink ref="B147" r:id="rId161" display="../../../" xr:uid="{7614BFB2-354E-4156-95FC-658EE9CC274D}"/>
    <hyperlink ref="B123" r:id="rId162" display="../../../" xr:uid="{687B4BEF-76E1-4502-92E2-27052219D18A}"/>
    <hyperlink ref="B70" r:id="rId163" display="../../../" xr:uid="{E597E5C2-0E6D-4CFE-B33D-C0DB646D5D0F}"/>
    <hyperlink ref="B134" r:id="rId164" display="../../../" xr:uid="{FE477D8A-B231-4D3A-910A-1228DAF0F81B}"/>
    <hyperlink ref="B137" r:id="rId165" display="../../../" xr:uid="{5C7DD52E-B1A6-4634-A05D-B8F7EC36A91A}"/>
    <hyperlink ref="B148" r:id="rId166" display="../../../" xr:uid="{D01EF6D0-818E-4EA4-A8EB-B3DFA6962858}"/>
    <hyperlink ref="B149" r:id="rId167" display="../../../" xr:uid="{8A916C3F-F3D0-419C-959C-6F9A8402BCF5}"/>
    <hyperlink ref="B112" r:id="rId168" display="../../../" xr:uid="{B111A20F-DD13-4CDE-BE2E-5EBB41367718}"/>
    <hyperlink ref="B154" r:id="rId169" display="../../../" xr:uid="{86868676-72F3-47C3-9EC7-A3E6C1F73D6E}"/>
    <hyperlink ref="B45" r:id="rId170" display="../../../" xr:uid="{9009FA47-51D8-456C-82AD-AF4BF529ED08}"/>
    <hyperlink ref="B55" r:id="rId171" display="../../../" xr:uid="{C30743B2-CF2B-4945-8A03-BC8C8457C470}"/>
    <hyperlink ref="B68" r:id="rId172" display="../../../" xr:uid="{C7537BD3-45C8-42E8-9BC3-1415CCFE06EE}"/>
    <hyperlink ref="B69" r:id="rId173" display="../../../" xr:uid="{01079538-E263-4545-B3E8-8E787E31C99B}"/>
    <hyperlink ref="B91" r:id="rId174" display="../../../" xr:uid="{9F834333-B34C-45A8-8EB7-9DC46D5BBBD0}"/>
    <hyperlink ref="B92" r:id="rId175" display="../../../" xr:uid="{3D0D1496-142C-4ABA-842C-16F019CBF2A8}"/>
    <hyperlink ref="B110" r:id="rId176" display="../../../" xr:uid="{06179014-7030-443F-B05E-F958AB67A9F6}"/>
    <hyperlink ref="B111" r:id="rId177" display="../../../" xr:uid="{60143BD0-FEE2-4E88-AE48-7819BEECD3BA}"/>
    <hyperlink ref="B46" r:id="rId178" display="../../../" xr:uid="{393C4178-F8FE-40DD-992A-A9C85A2F79B9}"/>
    <hyperlink ref="J46" r:id="rId179" display="https://bwdgkace01.bwdesigngroup.com/userui/ticket.php?ID=113220" xr:uid="{EFAFAA2A-6A59-40F2-9A06-563E9C5B3E53}"/>
    <hyperlink ref="B57" r:id="rId180" display="../../../" xr:uid="{73901825-0016-40BB-BDB5-56647C84D839}"/>
    <hyperlink ref="J57" r:id="rId181" display="https://bwdgkace01.bwdesigngroup.com/userui/ticket.php?ID=113222" xr:uid="{F7ADB817-9179-450E-BBD6-001C35CCEFF3}"/>
    <hyperlink ref="B87" r:id="rId182" display="../../../" xr:uid="{84872822-F6DD-4AFF-9A2F-5934F7E75603}"/>
    <hyperlink ref="B140" r:id="rId183" display="../../../" xr:uid="{5D0F4EFC-8D49-44C0-9A03-05A357DE2FC3}"/>
    <hyperlink ref="B155" r:id="rId184" display="../../../" xr:uid="{68E3C589-CE2F-4504-A217-BF70F88BCFB8}"/>
    <hyperlink ref="B162" r:id="rId185" display="../../../" xr:uid="{2D9E08AD-5AD2-4011-B944-C4A7803DDA3E}"/>
    <hyperlink ref="B168" r:id="rId186" display="../../../" xr:uid="{05888029-08AD-4A94-A614-91316663557B}"/>
    <hyperlink ref="B169" r:id="rId187" display="../../../" xr:uid="{E8E173EC-3382-435E-8691-F0F36FB7A05B}"/>
    <hyperlink ref="J87" r:id="rId188" display="https://bwdgkace01.bwdesigngroup.com/userui/ticket.php?ID=113223 " xr:uid="{A9FFC29E-3C2A-492B-A3AD-FA461ADA38E3}"/>
    <hyperlink ref="J120" r:id="rId189" display="https://bwdgkace01.bwdesigngroup.com/userui/ticket.php?ID=113224" xr:uid="{CD44F989-1D06-448F-BE78-53F45AC6ED68}"/>
    <hyperlink ref="J140" r:id="rId190" display="https://bwdgkace01.bwdesigngroup.com/userui/ticket.php?ID=113225" xr:uid="{C9118F36-E803-4177-AAC0-0302AE6CC45C}"/>
    <hyperlink ref="J155" r:id="rId191" display="https://bwdgkace01.bwdesigngroup.com/userui/ticket.php?ID=113226" xr:uid="{CADDB442-6180-4EEF-9BDE-8449320CFA70}"/>
    <hyperlink ref="J162" r:id="rId192" display="https://bwdgkace01.bwdesigngroup.com/userui/ticket.php?ID=113227" xr:uid="{BA21FE09-7A3F-41DE-826E-3FFEE79BFE0D}"/>
    <hyperlink ref="J168" r:id="rId193" display="https://bwdgkace01.bwdesigngroup.com/userui/ticket.php?ID=113228" xr:uid="{088E4CE4-CE66-4528-A02A-D2E6BC3837F0}"/>
    <hyperlink ref="J169" r:id="rId194" display="https://bwdgkace01.bwdesigngroup.com/userui/ticket.php?ID=113229" xr:uid="{060BC8E4-21DE-4427-B319-1697A227C3AA}"/>
    <hyperlink ref="B13" r:id="rId195" display="../../../" xr:uid="{1B2A6267-4541-49C9-84C0-C7BCC78ED24A}"/>
    <hyperlink ref="B59" r:id="rId196" display="../../../" xr:uid="{32A05A4D-7BD4-47F1-8551-5CD7B6ABC32D}"/>
    <hyperlink ref="J59" r:id="rId197" display="https://bwdgkace01.bwdesigngroup.com/userui/ticket.php?ID=113272" xr:uid="{816B8F28-E0C1-497B-84F3-CED148375384}"/>
    <hyperlink ref="B10" r:id="rId198" display="../../../" xr:uid="{D086C6EB-A306-4CAD-857A-A60B5D90068A}"/>
    <hyperlink ref="J10" r:id="rId199" display="https://bwdgkace01.bwdesigngroup.com/userui/ticket.php?ID=113275" xr:uid="{7FC2F98D-A540-4111-B1E7-46081AD24410}"/>
    <hyperlink ref="B61" r:id="rId200" display="../../../" xr:uid="{2280ABA7-CC58-40F7-B4DD-B0CDF170BEEB}"/>
    <hyperlink ref="J79" r:id="rId201" display="https://bwdgkace01.bwdesigngroup.com/userui/ticket.php?ID=113357" xr:uid="{FE6F9553-8870-4B3C-8D15-E0253FCD4DBD}"/>
    <hyperlink ref="B73" r:id="rId202" display="../../../" xr:uid="{A38B78C2-30B4-4E7D-BCB9-CA117C5C4183}"/>
    <hyperlink ref="J73" r:id="rId203" display="https://bwdgkace01.bwdesigngroup.com/userui/ticket.php?ID=113461" xr:uid="{D37B02BC-1E45-4E26-9704-F79F9648547B}"/>
    <hyperlink ref="B31" r:id="rId204" display="../../../" xr:uid="{C45DD21F-6BE2-4714-9E06-93265D973F28}"/>
    <hyperlink ref="B51" r:id="rId205" display="../../../" xr:uid="{5B495EED-AE79-4791-BD6F-38962AC1255D}"/>
    <hyperlink ref="B88" r:id="rId206" display="../../../" xr:uid="{28CCC416-A032-49A7-828C-42525CFAC582}"/>
    <hyperlink ref="B117" r:id="rId207" display="../../../" xr:uid="{34A6EA4A-EA65-4E5C-81D1-21C4F8A40D11}"/>
    <hyperlink ref="B120" r:id="rId208" display="../../../" xr:uid="{F5FE167C-F276-48F9-B823-3FE5C13C6585}"/>
    <hyperlink ref="B128" r:id="rId209" display="../../../" xr:uid="{041A3B2F-3C50-4F33-845F-865D17A9C4A2}"/>
    <hyperlink ref="B32" r:id="rId210" display="../../../" xr:uid="{7C87B647-FD56-4F4B-8902-AB9BB538F361}"/>
    <hyperlink ref="J32" r:id="rId211" display="https://bwdgkace01.bwdesigngroup.com/userui/ticket.php?ID=113540" xr:uid="{2E7C4D9C-8192-49F1-9E48-8ACBB406C637}"/>
    <hyperlink ref="B79" r:id="rId212" display="../../../" xr:uid="{16EEB801-8808-4F53-B078-EC86CCA18E65}"/>
    <hyperlink ref="B80" r:id="rId213" display="../../../" xr:uid="{7A238105-8306-4840-8C71-D979A4854322}"/>
    <hyperlink ref="J80" r:id="rId214" display="https://bwdgkace01.bwdesigngroup.com/userui/ticket.php?ID=113357" xr:uid="{B27E325C-6061-4AB5-BDB3-C69A0E900B25}"/>
    <hyperlink ref="B82" r:id="rId215" display="../../../" xr:uid="{C1AC9ACF-E2E7-48DF-823B-F1CF357E46CF}"/>
    <hyperlink ref="J82" r:id="rId216" display="https://bwdgkace01.bwdesigngroup.com/userui/ticket.php?ID=113619" xr:uid="{3B3E8E86-A3AC-4E57-BDB4-CE7DB0371DB9}"/>
    <hyperlink ref="B52" r:id="rId217" display="../../../" xr:uid="{0F502462-0953-48AD-B758-EF7F0AD662C0}"/>
    <hyperlink ref="J52" r:id="rId218" display="https://bwdgkace01.bwdesigngroup.com/userui/ticket.php?ID=113627" xr:uid="{D3F64A88-B087-4DE3-973B-A8A8A541799D}"/>
    <hyperlink ref="B119" r:id="rId219" display="../../../" xr:uid="{4EE2C2DF-FB5F-48F5-A398-6085047B4FB1}"/>
    <hyperlink ref="J119" r:id="rId220" display="https://bwdgkace01.bwdesigngroup.com/userui/ticket.php?ID=113647" xr:uid="{E0925801-1173-4A6B-98F9-7A96EFDA53E5}"/>
    <hyperlink ref="B44" r:id="rId221" display="../../../" xr:uid="{67530641-0F33-4EC8-9159-DCF5975043FC}"/>
    <hyperlink ref="J44" r:id="rId222" display="https://bwdgkace01.bwdesigngroup.com/userui/ticket.php?ID=113650" xr:uid="{E1A0067B-914F-4201-99D2-F76739F648DD}"/>
    <hyperlink ref="B102" r:id="rId223" display="../../../" xr:uid="{20616B6D-6B46-4A59-9CFD-BAB6B2C3DBF7}"/>
    <hyperlink ref="J102" r:id="rId224" display="https://bwdgkace01.bwdesigngroup.com/userui/ticket.php?ID=113664" xr:uid="{A96E0C7A-00F7-451E-A9B2-1BF10E18A44A}"/>
    <hyperlink ref="B15" r:id="rId225" display="../../../" xr:uid="{46DE16B1-B77B-46BF-A045-8AD2ECCD7AF2}"/>
    <hyperlink ref="J61" r:id="rId226" display="https://bwdgkace01.bwdesigngroup.com/userui/ticket.php?ID=113672" xr:uid="{57956CF8-B9AA-4525-914A-849FC2BD637D}"/>
    <hyperlink ref="B104" r:id="rId227" display="../../../" xr:uid="{7E9640A9-89E0-4DE8-A249-F2B234BD3410}"/>
    <hyperlink ref="B78" r:id="rId228" display="../../../" xr:uid="{D58CFC84-2EAE-4975-AB55-38A634E401F0}"/>
    <hyperlink ref="B74" r:id="rId229" display="../../../" xr:uid="{033F645F-5A1F-44E4-BF9B-1F77A82E6783}"/>
    <hyperlink ref="B75" r:id="rId230" display="../../../" xr:uid="{79EF37C6-D940-4073-8727-960746E5B585}"/>
    <hyperlink ref="B76" r:id="rId231" display="../../../" xr:uid="{DAD70C8F-607E-44F7-A5D0-BE5DC8988EB2}"/>
    <hyperlink ref="J77" r:id="rId232" display="https://bwdgkace01.bwdesigngroup.com/userui/ticket.php?ID=113724" xr:uid="{0F2E2A39-6E00-4E66-8413-2D4ECB994E73}"/>
    <hyperlink ref="J74" r:id="rId233" display="https://bwdgkace01.bwdesigngroup.com/userui/ticket.php?ID=113724" xr:uid="{F3ED6D97-6594-493A-A6BE-4EE1F2E931B0}"/>
    <hyperlink ref="J75" r:id="rId234" display="https://bwdgkace01.bwdesigngroup.com/userui/ticket.php?ID=113724" xr:uid="{347A8251-4386-4BD0-92C3-ECC32AA578F2}"/>
    <hyperlink ref="J76" r:id="rId235" display="https://bwdgkace01.bwdesigngroup.com/userui/ticket.php?ID=113724" xr:uid="{428406A8-A455-473B-963B-F7256B02D6BF}"/>
    <hyperlink ref="B39" r:id="rId236" display="../../../" xr:uid="{A679F7D2-7A19-4632-8673-8365C35D9B94}"/>
    <hyperlink ref="J39" r:id="rId237" display="https://bwdgkace01.bwdesigngroup.com/userui/ticket.php?ID=113776" xr:uid="{507206A1-F71C-4511-89CB-FA63DC6B0A50}"/>
    <hyperlink ref="B40" r:id="rId238" display="../../../" xr:uid="{4E01D2D2-1DB9-4610-B901-E70B07CF173B}"/>
    <hyperlink ref="J40" r:id="rId239" display="https://bwdgkace01.bwdesigngroup.com/userui/ticket.php?ID=113776" xr:uid="{DB36B3F7-0D64-4307-B94D-96EE28195765}"/>
    <hyperlink ref="B47" r:id="rId240" display="../../../" xr:uid="{F8564E69-A793-488D-AF43-47266541BD13}"/>
    <hyperlink ref="J47" r:id="rId241" display="https://bwdgkace01.bwdesigngroup.com/userui/ticket.php?ID=113791" xr:uid="{9AC6FD21-C0D1-42D1-A0DA-8EF9B083BEB2}"/>
    <hyperlink ref="B103" r:id="rId242" display="../../../" xr:uid="{9380750C-4566-418D-9655-D9D7BF5548D7}"/>
    <hyperlink ref="J103" r:id="rId243" display="https://bwdgkace01.bwdesigngroup.com/userui/ticket.php?ID=113859" xr:uid="{EB4DA70E-9E4F-42F5-ADBD-170478EC3B27}"/>
    <hyperlink ref="B35" r:id="rId244" display="../../../" xr:uid="{A1C3205A-917E-4A4A-8A76-88F4DAB4EED4}"/>
    <hyperlink ref="J35" r:id="rId245" display="https://bwdgkace01.bwdesigngroup.com/userui/ticket.php?ID=113880" xr:uid="{85F2784E-7E26-4D09-9967-501DFA35947B}"/>
    <hyperlink ref="B85" r:id="rId246" display="../../../" xr:uid="{BB76250C-B290-4E23-91C5-98F7F3815A1D}"/>
    <hyperlink ref="B28" r:id="rId247" display="../../../" xr:uid="{4A88D038-76D3-492D-B040-95CAF3CD0BC4}"/>
    <hyperlink ref="B50" r:id="rId248" display="../../../" xr:uid="{8840D255-855B-442B-81C9-788D0754E3AF}"/>
    <hyperlink ref="B115" r:id="rId249" display="../../../" xr:uid="{95EB854F-EEF6-4FEC-A77E-3464443EC2CF}"/>
    <hyperlink ref="B129" r:id="rId250" display="../../../" xr:uid="{6571D2AF-89A8-469C-8407-8C311C697551}"/>
    <hyperlink ref="B23" r:id="rId251" display="../../../" xr:uid="{6DF812B2-7736-46DD-A0B8-1ED8E518052B}"/>
    <hyperlink ref="J23" r:id="rId252" display="https://bwdgkace01.bwdesigngroup.com/userui/ticket.php?ID=110483" xr:uid="{3D84D934-A8CF-48C6-AF80-B3F657A3D9C3}"/>
    <hyperlink ref="B16" r:id="rId253" display="../../../" xr:uid="{8FC61A96-52B6-49D2-A0A3-3DC2CCBD762A}"/>
    <hyperlink ref="J16" r:id="rId254" display="https://bwdgkace01.bwdesigngroup.com/userui/ticket.php?ID=N/A" xr:uid="{E483A893-2EFE-4C63-9AC9-AD0F0C7FFEA8}"/>
    <hyperlink ref="B77" r:id="rId255" display="../../../" xr:uid="{6CEB688C-6FEF-4AC9-8B38-9EB908D5A6B2}"/>
    <hyperlink ref="J33" r:id="rId256" display="https://bwdgkace01.bwdesigngroup.com/userui/ticket.php?ID=114032" xr:uid="{2B913045-5085-49EF-AC04-84AFA3225FC0}"/>
    <hyperlink ref="B63" r:id="rId257" display="../../../" xr:uid="{02AF0AB5-1357-49E2-8D29-3D0690407C27}"/>
    <hyperlink ref="J63" r:id="rId258" display="https://bwdgkace01.bwdesigngroup.com/userui/ticket.php?ID=114036" xr:uid="{2FC582BD-E32B-49FD-9C37-F03D1157EF2C}"/>
    <hyperlink ref="B86" r:id="rId259" display="../../../" xr:uid="{972D2DC0-D6E5-4F77-8AD6-E1AD062B18B6}"/>
    <hyperlink ref="B54" r:id="rId260" display="../../../" xr:uid="{491F1152-E3EE-4642-B33D-58CC4991EA3F}"/>
    <hyperlink ref="J54" r:id="rId261" display="https://bwdgkace01.bwdesigngroup.com/userui/ticket.php?ID=114073" xr:uid="{C01BFC58-5925-4E55-87DE-A153288F75A3}"/>
    <hyperlink ref="B98" r:id="rId262" display="../../../" xr:uid="{E5F795AC-5185-4122-84E3-F32D567334A8}"/>
    <hyperlink ref="J98" r:id="rId263" display="https://bwdgkace01.bwdesigngroup.com/userui/ticket.php?ID=114094" xr:uid="{D333D150-A6C6-4317-84B3-D67E875C3F8C}"/>
    <hyperlink ref="B116" r:id="rId264" display="../../../" xr:uid="{3C913D8E-9448-4B47-A711-555194E9BDE2}"/>
    <hyperlink ref="J116" r:id="rId265" display="https://bwdgkace01.bwdesigngroup.com/userui/ticket.php?ID=114096" xr:uid="{82D27DC4-4805-473F-9968-8F949961021F}"/>
    <hyperlink ref="B124" r:id="rId266" display="../../../" xr:uid="{150E1B29-D840-4083-ACF4-25A689AE8C6D}"/>
    <hyperlink ref="J124" r:id="rId267" display="https://bwdgkace01.bwdesigngroup.com/userui/ticket.php?ID=114097" xr:uid="{1809181E-5FE9-4D9A-88B9-02A1413C019C}"/>
    <hyperlink ref="B130" r:id="rId268" display="../../../" xr:uid="{13152ED6-1029-40F0-9306-B44CAAA96A33}"/>
    <hyperlink ref="J130" r:id="rId269" display="https://bwdgkace01.bwdesigngroup.com/userui/ticket.php?ID=114098" xr:uid="{6B10ECA2-EA23-4F56-A584-4CA175AD5648}"/>
    <hyperlink ref="B141" r:id="rId270" display="../../../" xr:uid="{CD059CA5-22DF-4C2C-B86C-2B6E0E95D655}"/>
    <hyperlink ref="J141" r:id="rId271" display="https://bwdgkace01.bwdesigngroup.com/userui/ticket.php?ID=114100" xr:uid="{005F5A32-A6EB-44FF-B2E9-F00EF7172CEB}"/>
    <hyperlink ref="B143" r:id="rId272" display="../../../" xr:uid="{4CDDE221-61BE-4FB1-A380-D8CC8E66AB12}"/>
    <hyperlink ref="J143" r:id="rId273" display="https://bwdgkace01.bwdesigngroup.com/userui/ticket.php?ID=114101" xr:uid="{E0CE3B8E-BBD8-4CCB-9DAA-7E94CAF7B7E3}"/>
    <hyperlink ref="B150" r:id="rId274" display="../../../" xr:uid="{F53D9437-19AE-40FA-B34C-679B2E28CC5E}"/>
    <hyperlink ref="J150" r:id="rId275" display="https://bwdgkace01.bwdesigngroup.com/userui/ticket.php?ID=114102" xr:uid="{13A5396E-BC1D-45E7-85A1-D4A50C027530}"/>
    <hyperlink ref="B152" r:id="rId276" display="../../../" xr:uid="{065EC834-FB0E-4076-8E73-84AFDB8C8095}"/>
    <hyperlink ref="J152" r:id="rId277" display="https://bwdgkace01.bwdesigngroup.com/userui/ticket.php?ID=114103" xr:uid="{E541E67B-812A-4D24-A532-FAE372727A30}"/>
    <hyperlink ref="B156" r:id="rId278" display="../../../" xr:uid="{E307A7CF-6B61-4D51-9AEA-208367713EF5}"/>
    <hyperlink ref="J156" r:id="rId279" display="https://bwdgkace01.bwdesigngroup.com/userui/ticket.php?ID=114104" xr:uid="{D011FD42-CEE3-4A6B-B7F2-8E23CC3519D2}"/>
    <hyperlink ref="B158" r:id="rId280" display="../../../" xr:uid="{2140C38D-EB07-4FC3-B951-E75AC6A94DEB}"/>
    <hyperlink ref="J158" r:id="rId281" display="https://bwdgkace01.bwdesigngroup.com/userui/ticket.php?ID=1140105" xr:uid="{32484DBF-34C5-48CB-8AA2-BB4147F9ADBA}"/>
    <hyperlink ref="B160" r:id="rId282" display="../../../" xr:uid="{87B8C011-8B0D-4CDB-B81A-811C57449F00}"/>
    <hyperlink ref="J160" r:id="rId283" display="https://bwdgkace01.bwdesigngroup.com/userui/ticket.php?ID=114106" xr:uid="{183C30DD-0FB4-4E13-B4B0-22D42997FA42}"/>
    <hyperlink ref="B163" r:id="rId284" display="../../../" xr:uid="{71DE9E4F-095C-4319-B3D7-D6C11119D02B}"/>
    <hyperlink ref="J163" r:id="rId285" display="https://bwdgkace01.bwdesigngroup.com/userui/ticket.php?ID=114107" xr:uid="{3EA3C6BD-FA0B-40E9-A155-D8ED75F9EABA}"/>
    <hyperlink ref="B99" r:id="rId286" display="../../../" xr:uid="{E156C082-F850-475B-85B7-98705F11C536}"/>
    <hyperlink ref="J99" r:id="rId287" display="https://bwdgkace01.bwdesigngroup.com/userui/ticket.php?ID=114108" xr:uid="{96FC379F-396E-49A6-910A-BFDD67A3BDEC}"/>
    <hyperlink ref="B118" r:id="rId288" display="../../../" xr:uid="{5DEEC40A-4C3D-4AA7-AA41-2915FBAEE74A}"/>
    <hyperlink ref="J118" r:id="rId289" display="https://bwdgkace01.bwdesigngroup.com/userui/ticket.php?ID=114109" xr:uid="{68559833-8ABB-4F1A-8AC4-7CEEB2A107A2}"/>
    <hyperlink ref="B125" r:id="rId290" display="../../../" xr:uid="{0594F43B-0FFA-4901-8E11-FBD4F11C7A0F}"/>
    <hyperlink ref="J125" r:id="rId291" display="https://bwdgkace01.bwdesigngroup.com/userui/ticket.php?ID=114110" xr:uid="{4B53BDDE-77B4-445A-939C-E07C937BC56A}"/>
    <hyperlink ref="B131" r:id="rId292" display="../../../" xr:uid="{C2969C1D-EA52-4C20-9A84-9093BBFE4588}"/>
    <hyperlink ref="J131" r:id="rId293" display="https://bwdgkace01.bwdesigngroup.com/userui/ticket.php?ID=114111" xr:uid="{C57FAF30-E122-4E4C-B1A4-CA53D1CC2113}"/>
    <hyperlink ref="B142" r:id="rId294" display="../../../" xr:uid="{F3504A75-1CFD-46C5-8D7E-7ACA191EA1FD}"/>
    <hyperlink ref="J142" r:id="rId295" display="https://bwdgkace01.bwdesigngroup.com/userui/ticket.php?ID=114112" xr:uid="{66CE2FEF-1114-4752-94D9-993C41B3A0EF}"/>
    <hyperlink ref="B144" r:id="rId296" display="../../../" xr:uid="{4497B7AE-609A-468D-A336-5B9F42909471}"/>
    <hyperlink ref="J144" r:id="rId297" display="https://bwdgkace01.bwdesigngroup.com/userui/ticket.php?ID=114113" xr:uid="{CEC54825-0666-4E1E-A463-E20A66A002FB}"/>
    <hyperlink ref="B151" r:id="rId298" display="../../../" xr:uid="{8C681AEC-CDDF-43B2-ADEC-5C180C4ED206}"/>
    <hyperlink ref="J151" r:id="rId299" display="https://bwdgkace01.bwdesigngroup.com/userui/ticket.php?ID=114114" xr:uid="{C17A0197-BC07-4990-9BDB-37FDA3080DA2}"/>
    <hyperlink ref="B153" r:id="rId300" display="../../../" xr:uid="{BBD043E0-0F8F-4506-BF70-17F102018866}"/>
    <hyperlink ref="J153" r:id="rId301" display="https://bwdgkace01.bwdesigngroup.com/userui/ticket.php?ID=114115" xr:uid="{7DAE902E-E27A-4580-BAC0-D41DF0E43C4E}"/>
    <hyperlink ref="B157" r:id="rId302" display="../../../" xr:uid="{2F24A87A-0BAA-4C73-8E92-8635AD2DE50E}"/>
    <hyperlink ref="J157" r:id="rId303" display="https://bwdgkace01.bwdesigngroup.com/userui/ticket.php?ID=114116" xr:uid="{1E118B12-3937-4D8F-9DBD-823CC2D37ACD}"/>
    <hyperlink ref="B159" r:id="rId304" display="../../../" xr:uid="{2E9D333C-8865-4457-9F6E-2243D0D3118A}"/>
    <hyperlink ref="J159" r:id="rId305" display="https://bwdgkace01.bwdesigngroup.com/userui/ticket.php?ID=114117" xr:uid="{D07469F2-B0E7-4046-BBF1-7D977E690245}"/>
    <hyperlink ref="B161" r:id="rId306" display="../../../" xr:uid="{82A47F68-25BA-40A2-9273-669C429675B0}"/>
    <hyperlink ref="J161" r:id="rId307" display="https://bwdgkace01.bwdesigngroup.com/userui/ticket.php?ID=114118" xr:uid="{131A58F0-B52B-436E-87FE-B77BA2FFA2B6}"/>
    <hyperlink ref="B164" r:id="rId308" display="../../../" xr:uid="{A41FA157-68EC-4209-AC5F-FB3F2EF1CF31}"/>
    <hyperlink ref="J164" r:id="rId309" display="https://bwdgkace01.bwdesigngroup.com/userui/ticket.php?ID=114119" xr:uid="{BE0B2460-8867-46D8-A81E-503ACAC6C71F}"/>
    <hyperlink ref="B83" r:id="rId310" display="../../../" xr:uid="{743575C6-0C92-4EF5-ADB5-609CC0079F7E}"/>
    <hyperlink ref="J83" r:id="rId311" display="https://bwdgkace01.bwdesigngroup.com/userui/ticket.php?ID=123456" xr:uid="{8B3E078C-C0AB-4697-8B93-DCE17BFCE379}"/>
    <hyperlink ref="B12" r:id="rId312" display="../../../" xr:uid="{17C5EF80-634E-4516-9F4D-FAEDAAB43BC1}"/>
    <hyperlink ref="B17" r:id="rId313" display="../../../" xr:uid="{474735C5-7B60-442F-997D-178D4F915F9D}"/>
    <hyperlink ref="J17" r:id="rId314" display="https://bwdgkace01.bwdesigngroup.com/userui/ticket.php?ID=N/A" xr:uid="{3D2E8BAA-2B2E-42F0-8734-EE681FCB84DE}"/>
    <hyperlink ref="B43" r:id="rId315" display="../../../" xr:uid="{12F07966-E023-4712-A63F-5FB1C3D15219}"/>
    <hyperlink ref="J43" r:id="rId316" display="https://bwdgkace01.bwdesigngroup.com/userui/ticket.php?ID=114175" xr:uid="{369BBA42-71C6-4B66-8828-80CB1F064AE8}"/>
    <hyperlink ref="B41" r:id="rId317" display="../../../" xr:uid="{4639230F-BA8F-4E21-B3A9-78F3BA5349C5}"/>
    <hyperlink ref="J41" r:id="rId318" display="https://bwdgkace01.bwdesigngroup.com/userui/ticket.php?ID=114187" xr:uid="{C1A8A8E0-DD58-4228-B303-2763349F5BD0}"/>
    <hyperlink ref="B33" r:id="rId319" display="../../../" xr:uid="{70CD6CB2-8E42-43CE-98DB-C4082E95654B}"/>
    <hyperlink ref="B67" r:id="rId320" display="../../../" xr:uid="{14401FB7-2604-4380-88CB-0B2B897A013C}"/>
    <hyperlink ref="J67" r:id="rId321" display="https://bwdgkace01.bwdesigngroup.com/userui/ticket.php?ID=114190" xr:uid="{31CBB495-E0AD-4FB1-B262-19D08B35B44C}"/>
  </hyperlinks>
  <pageMargins left="0.2" right="0.2" top="0.5" bottom="0.25" header="0.3" footer="0.3"/>
  <pageSetup paperSize="3" scale="48" fitToHeight="0" orientation="landscape" r:id="rId322"/>
  <drawing r:id="rId323"/>
  <legacyDrawing r:id="rId324"/>
  <controls>
    <mc:AlternateContent xmlns:mc="http://schemas.openxmlformats.org/markup-compatibility/2006">
      <mc:Choice Requires="x14">
        <control shapeId="2057" r:id="rId325" name="cmdViews">
          <controlPr defaultSize="0" autoLine="0" autoPict="0" r:id="rId326">
            <anchor moveWithCells="1">
              <from>
                <xdr:col>11</xdr:col>
                <xdr:colOff>1704975</xdr:colOff>
                <xdr:row>1</xdr:row>
                <xdr:rowOff>19050</xdr:rowOff>
              </from>
              <to>
                <xdr:col>11</xdr:col>
                <xdr:colOff>3019425</xdr:colOff>
                <xdr:row>4</xdr:row>
                <xdr:rowOff>19050</xdr:rowOff>
              </to>
            </anchor>
          </controlPr>
        </control>
      </mc:Choice>
      <mc:Fallback>
        <control shapeId="2057" r:id="rId325" name="cmdViews"/>
      </mc:Fallback>
    </mc:AlternateContent>
    <mc:AlternateContent xmlns:mc="http://schemas.openxmlformats.org/markup-compatibility/2006">
      <mc:Choice Requires="x14">
        <control shapeId="2049" r:id="rId327" name="cmdAddNewProj">
          <controlPr defaultSize="0" autoLine="0" autoPict="0" r:id="rId328">
            <anchor>
              <from>
                <xdr:col>1</xdr:col>
                <xdr:colOff>19050</xdr:colOff>
                <xdr:row>1</xdr:row>
                <xdr:rowOff>19050</xdr:rowOff>
              </from>
              <to>
                <xdr:col>2</xdr:col>
                <xdr:colOff>219075</xdr:colOff>
                <xdr:row>3</xdr:row>
                <xdr:rowOff>152400</xdr:rowOff>
              </to>
            </anchor>
          </controlPr>
        </control>
      </mc:Choice>
      <mc:Fallback>
        <control shapeId="2049" r:id="rId327" name="cmdAddNewProj"/>
      </mc:Fallback>
    </mc:AlternateContent>
    <mc:AlternateContent xmlns:mc="http://schemas.openxmlformats.org/markup-compatibility/2006">
      <mc:Choice Requires="x14">
        <control shapeId="2050" r:id="rId329" name="cmdDeleteProj">
          <controlPr defaultSize="0" autoLine="0" autoPict="0" r:id="rId330">
            <anchor moveWithCells="1">
              <from>
                <xdr:col>9</xdr:col>
                <xdr:colOff>266700</xdr:colOff>
                <xdr:row>0</xdr:row>
                <xdr:rowOff>171450</xdr:rowOff>
              </from>
              <to>
                <xdr:col>10</xdr:col>
                <xdr:colOff>895350</xdr:colOff>
                <xdr:row>3</xdr:row>
                <xdr:rowOff>123825</xdr:rowOff>
              </to>
            </anchor>
          </controlPr>
        </control>
      </mc:Choice>
      <mc:Fallback>
        <control shapeId="2050" r:id="rId329" name="cmdDeleteProj"/>
      </mc:Fallback>
    </mc:AlternateContent>
    <mc:AlternateContent xmlns:mc="http://schemas.openxmlformats.org/markup-compatibility/2006">
      <mc:Choice Requires="x14">
        <control shapeId="2051" r:id="rId331" name="cmdSort">
          <controlPr defaultSize="0" autoLine="0" autoPict="0" r:id="rId332">
            <anchor moveWithCells="1">
              <from>
                <xdr:col>11</xdr:col>
                <xdr:colOff>247650</xdr:colOff>
                <xdr:row>1</xdr:row>
                <xdr:rowOff>0</xdr:rowOff>
              </from>
              <to>
                <xdr:col>11</xdr:col>
                <xdr:colOff>1457325</xdr:colOff>
                <xdr:row>3</xdr:row>
                <xdr:rowOff>161925</xdr:rowOff>
              </to>
            </anchor>
          </controlPr>
        </control>
      </mc:Choice>
      <mc:Fallback>
        <control shapeId="2051" r:id="rId331" name="cmdSort"/>
      </mc:Fallback>
    </mc:AlternateContent>
    <mc:AlternateContent xmlns:mc="http://schemas.openxmlformats.org/markup-compatibility/2006">
      <mc:Choice Requires="x14">
        <control shapeId="2052" r:id="rId333" name="cmdIncrementLabor">
          <controlPr defaultSize="0" autoLine="0" r:id="rId334">
            <anchor moveWithCells="1">
              <from>
                <xdr:col>37</xdr:col>
                <xdr:colOff>247650</xdr:colOff>
                <xdr:row>1</xdr:row>
                <xdr:rowOff>9525</xdr:rowOff>
              </from>
              <to>
                <xdr:col>40</xdr:col>
                <xdr:colOff>114300</xdr:colOff>
                <xdr:row>3</xdr:row>
                <xdr:rowOff>161925</xdr:rowOff>
              </to>
            </anchor>
          </controlPr>
        </control>
      </mc:Choice>
      <mc:Fallback>
        <control shapeId="2052" r:id="rId333" name="cmdIncrementLabor"/>
      </mc:Fallback>
    </mc:AlternateContent>
    <mc:AlternateContent xmlns:mc="http://schemas.openxmlformats.org/markup-compatibility/2006">
      <mc:Choice Requires="x14">
        <control shapeId="2053" r:id="rId335" name="cmdShip">
          <controlPr defaultSize="0" autoLine="0" autoPict="0" r:id="rId336">
            <anchor moveWithCells="1">
              <from>
                <xdr:col>29</xdr:col>
                <xdr:colOff>428625</xdr:colOff>
                <xdr:row>1</xdr:row>
                <xdr:rowOff>19050</xdr:rowOff>
              </from>
              <to>
                <xdr:col>30</xdr:col>
                <xdr:colOff>695325</xdr:colOff>
                <xdr:row>3</xdr:row>
                <xdr:rowOff>123825</xdr:rowOff>
              </to>
            </anchor>
          </controlPr>
        </control>
      </mc:Choice>
      <mc:Fallback>
        <control shapeId="2053" r:id="rId335" name="cmdShip"/>
      </mc:Fallback>
    </mc:AlternateContent>
    <mc:AlternateContent xmlns:mc="http://schemas.openxmlformats.org/markup-compatibility/2006">
      <mc:Choice Requires="x14">
        <control shapeId="2054" r:id="rId337" name="cmdSplitShip">
          <controlPr defaultSize="0" autoLine="0" r:id="rId338">
            <anchor moveWithCells="1">
              <from>
                <xdr:col>28</xdr:col>
                <xdr:colOff>0</xdr:colOff>
                <xdr:row>1</xdr:row>
                <xdr:rowOff>0</xdr:rowOff>
              </from>
              <to>
                <xdr:col>29</xdr:col>
                <xdr:colOff>219075</xdr:colOff>
                <xdr:row>3</xdr:row>
                <xdr:rowOff>133350</xdr:rowOff>
              </to>
            </anchor>
          </controlPr>
        </control>
      </mc:Choice>
      <mc:Fallback>
        <control shapeId="2054" r:id="rId337" name="cmdSplitShip"/>
      </mc:Fallback>
    </mc:AlternateContent>
    <mc:AlternateContent xmlns:mc="http://schemas.openxmlformats.org/markup-compatibility/2006">
      <mc:Choice Requires="x14">
        <control shapeId="2055" r:id="rId339" name="cmdLaborHours">
          <controlPr defaultSize="0" autoLine="0" autoPict="0" r:id="rId340">
            <anchor moveWithCells="1">
              <from>
                <xdr:col>34</xdr:col>
                <xdr:colOff>552450</xdr:colOff>
                <xdr:row>0</xdr:row>
                <xdr:rowOff>161925</xdr:rowOff>
              </from>
              <to>
                <xdr:col>35</xdr:col>
                <xdr:colOff>828675</xdr:colOff>
                <xdr:row>3</xdr:row>
                <xdr:rowOff>85725</xdr:rowOff>
              </to>
            </anchor>
          </controlPr>
        </control>
      </mc:Choice>
      <mc:Fallback>
        <control shapeId="2055" r:id="rId339" name="cmdLaborHours"/>
      </mc:Fallback>
    </mc:AlternateContent>
    <mc:AlternateContent xmlns:mc="http://schemas.openxmlformats.org/markup-compatibility/2006">
      <mc:Choice Requires="x14">
        <control shapeId="2061" r:id="rId341" name="cmdUpdateDisplays">
          <controlPr defaultSize="0" autoLine="0" r:id="rId342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25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2061" r:id="rId341" name="cmdUpdateDisplay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D868C38-ACBE-4079-9E3A-9655F16BE132}">
            <xm:f>NOT(ISERROR(SEARCH("At Risk",AJ1)))</xm:f>
            <xm:f>"At Risk"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m:sqref>AJ1:AJ1048576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0EFD3D2C-81DD-4585-8701-541AB368C720}">
          <x14:formula1>
            <xm:f>VARS!$AM$2:$AM$7</xm:f>
          </x14:formula1>
          <xm:sqref>Y60:Y1875 Y10:Y57</xm:sqref>
        </x14:dataValidation>
        <x14:dataValidation type="list" allowBlank="1" showInputMessage="1" showErrorMessage="1" xr:uid="{7854234B-BFEF-4B25-BE7B-CA87A8A9C4AA}">
          <x14:formula1>
            <xm:f>VARS!$AI$2:$AI$63</xm:f>
          </x14:formula1>
          <xm:sqref>Z10:Z1881</xm:sqref>
        </x14:dataValidation>
        <x14:dataValidation type="list" allowBlank="1" showInputMessage="1" showErrorMessage="1" xr:uid="{BFD916FD-95C8-44C0-AD5B-0A8B234391DC}">
          <x14:formula1>
            <xm:f>VARS!$AC$2:$AC$31</xm:f>
          </x14:formula1>
          <xm:sqref>AI10:AI1875</xm:sqref>
        </x14:dataValidation>
        <x14:dataValidation type="list" allowBlank="1" showInputMessage="1" showErrorMessage="1" xr:uid="{EEBBBF41-A3A3-46DD-9051-AE32C1277C79}">
          <x14:formula1>
            <xm:f>VARS!$E$2:$E$30</xm:f>
          </x14:formula1>
          <xm:sqref>I10:I1875</xm:sqref>
        </x14:dataValidation>
        <x14:dataValidation type="list" allowBlank="1" showInputMessage="1" showErrorMessage="1" xr:uid="{D2EE6223-4C42-44F5-A720-81F60699C6C5}">
          <x14:formula1>
            <xm:f>VARS!$M$2:$M$30</xm:f>
          </x14:formula1>
          <xm:sqref>F10:F1876</xm:sqref>
        </x14:dataValidation>
        <x14:dataValidation type="list" allowBlank="1" showInputMessage="1" showErrorMessage="1" xr:uid="{CE8E9316-1167-4178-A1C3-025F0EFC9FBC}">
          <x14:formula1>
            <xm:f>VARS!$Q$2:$Q$30</xm:f>
          </x14:formula1>
          <xm:sqref>G10:G1875</xm:sqref>
        </x14:dataValidation>
        <x14:dataValidation type="list" allowBlank="1" showInputMessage="1" showErrorMessage="1" xr:uid="{3D30F1E7-031E-4D1D-982A-AF67C42C26C7}">
          <x14:formula1>
            <xm:f>VARS!$I$2:$I$30</xm:f>
          </x14:formula1>
          <xm:sqref>H10:H1875</xm:sqref>
        </x14:dataValidation>
        <x14:dataValidation type="list" allowBlank="1" showInputMessage="1" showErrorMessage="1" xr:uid="{D03FFB7B-9A10-49F0-A9D9-D9C23DB7F383}">
          <x14:formula1>
            <xm:f>VARS!$AA$2:$AA$30</xm:f>
          </x14:formula1>
          <xm:sqref>AF10:AF1875</xm:sqref>
        </x14:dataValidation>
        <x14:dataValidation type="list" allowBlank="1" showInputMessage="1" showErrorMessage="1" xr:uid="{42D5FD45-09B4-412B-AB40-44831C989F73}">
          <x14:formula1>
            <xm:f>VARS!$AN$2:$AN$4</xm:f>
          </x14:formula1>
          <xm:sqref>C10:D1881</xm:sqref>
        </x14:dataValidation>
        <x14:dataValidation type="list" allowBlank="1" showInputMessage="1" showErrorMessage="1" xr:uid="{0DFB95FE-6A7D-4E74-828A-DBB6D7FA2ECE}">
          <x14:formula1>
            <xm:f>VARS!$U$2:$U$31</xm:f>
          </x14:formula1>
          <xm:sqref>N10:N1881</xm:sqref>
        </x14:dataValidation>
        <x14:dataValidation type="list" allowBlank="1" showInputMessage="1" showErrorMessage="1" xr:uid="{C8153C7F-8928-4125-B1BB-0011FE39D94F}">
          <x14:formula1>
            <xm:f>VARS!$AG$2:$AG$302</xm:f>
          </x14:formula1>
          <xm:sqref>K10:K1875</xm:sqref>
        </x14:dataValidation>
        <x14:dataValidation type="list" allowBlank="1" showInputMessage="1" showErrorMessage="1" xr:uid="{F8C42E47-C0EC-47E4-AFCE-E4433F9D45AD}">
          <x14:formula1>
            <xm:f>VARS!$AE$2:$AE$31</xm:f>
          </x14:formula1>
          <xm:sqref>AH10:AH1875</xm:sqref>
        </x14:dataValidation>
        <x14:dataValidation type="list" allowBlank="1" showInputMessage="1" showErrorMessage="1" xr:uid="{71920F42-47BE-40EB-8821-39D7F61F339E}">
          <x14:formula1>
            <xm:f>VARS!$Y$2:$Y$33</xm:f>
          </x14:formula1>
          <xm:sqref>AG10:AG1875</xm:sqref>
        </x14:dataValidation>
        <x14:dataValidation type="list" allowBlank="1" showInputMessage="1" showErrorMessage="1" xr:uid="{313A2B7C-692A-459A-B665-46276CBF4928}">
          <x14:formula1>
            <xm:f>VARS!$A$2:$A$24</xm:f>
          </x14:formula1>
          <xm:sqref>E10:E1875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B2FC-37D3-461D-A1BE-CC05BA1A526E}">
  <sheetPr codeName="Sheet3">
    <tabColor rgb="FFFF0000"/>
  </sheetPr>
  <dimension ref="A2:A27"/>
  <sheetViews>
    <sheetView workbookViewId="0"/>
  </sheetViews>
  <sheetFormatPr defaultRowHeight="15" x14ac:dyDescent="0.25"/>
  <cols>
    <col min="1" max="1" width="35.28515625" style="17" customWidth="1"/>
  </cols>
  <sheetData>
    <row r="2" spans="1:1" x14ac:dyDescent="0.25">
      <c r="A2" s="16" t="s">
        <v>41</v>
      </c>
    </row>
    <row r="3" spans="1:1" ht="45" x14ac:dyDescent="0.25">
      <c r="A3" s="17" t="s">
        <v>187</v>
      </c>
    </row>
    <row r="5" spans="1:1" x14ac:dyDescent="0.25">
      <c r="A5" s="16" t="s">
        <v>42</v>
      </c>
    </row>
    <row r="6" spans="1:1" ht="30" x14ac:dyDescent="0.25">
      <c r="A6" s="17" t="s">
        <v>181</v>
      </c>
    </row>
    <row r="8" spans="1:1" x14ac:dyDescent="0.25">
      <c r="A8" s="16" t="s">
        <v>43</v>
      </c>
    </row>
    <row r="9" spans="1:1" ht="30" x14ac:dyDescent="0.25">
      <c r="A9" s="17" t="s">
        <v>182</v>
      </c>
    </row>
    <row r="11" spans="1:1" x14ac:dyDescent="0.25">
      <c r="A11" s="16" t="s">
        <v>44</v>
      </c>
    </row>
    <row r="12" spans="1:1" ht="60" x14ac:dyDescent="0.25">
      <c r="A12" s="17" t="s">
        <v>183</v>
      </c>
    </row>
    <row r="14" spans="1:1" x14ac:dyDescent="0.25">
      <c r="A14" s="16" t="s">
        <v>45</v>
      </c>
    </row>
    <row r="15" spans="1:1" ht="60" x14ac:dyDescent="0.25">
      <c r="A15" s="17" t="s">
        <v>184</v>
      </c>
    </row>
    <row r="17" spans="1:1" x14ac:dyDescent="0.25">
      <c r="A17" s="16" t="s">
        <v>46</v>
      </c>
    </row>
    <row r="18" spans="1:1" ht="75" x14ac:dyDescent="0.25">
      <c r="A18" s="17" t="s">
        <v>185</v>
      </c>
    </row>
    <row r="20" spans="1:1" x14ac:dyDescent="0.25">
      <c r="A20" s="16" t="s">
        <v>47</v>
      </c>
    </row>
    <row r="21" spans="1:1" ht="45" x14ac:dyDescent="0.25">
      <c r="A21" s="17" t="s">
        <v>186</v>
      </c>
    </row>
    <row r="23" spans="1:1" x14ac:dyDescent="0.25">
      <c r="A23" s="16" t="s">
        <v>273</v>
      </c>
    </row>
    <row r="24" spans="1:1" ht="60" x14ac:dyDescent="0.25">
      <c r="A24" s="17" t="s">
        <v>274</v>
      </c>
    </row>
    <row r="26" spans="1:1" x14ac:dyDescent="0.25">
      <c r="A26" s="16" t="s">
        <v>1042</v>
      </c>
    </row>
    <row r="27" spans="1:1" ht="58.9" customHeight="1" x14ac:dyDescent="0.25">
      <c r="A27" s="17" t="s">
        <v>1043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AD6D-77AD-4519-B458-73D807EF9B83}">
  <sheetPr codeName="Sheet4"/>
  <dimension ref="A1:BN94"/>
  <sheetViews>
    <sheetView topLeftCell="L1" workbookViewId="0">
      <selection activeCell="V23" sqref="V23"/>
    </sheetView>
  </sheetViews>
  <sheetFormatPr defaultRowHeight="15" x14ac:dyDescent="0.25"/>
  <cols>
    <col min="1" max="1" width="12" bestFit="1" customWidth="1"/>
    <col min="2" max="2" width="18.7109375" bestFit="1" customWidth="1"/>
    <col min="3" max="3" width="38.5703125" bestFit="1" customWidth="1"/>
    <col min="4" max="4" width="27.28515625" customWidth="1"/>
    <col min="5" max="5" width="18.42578125" bestFit="1" customWidth="1"/>
    <col min="6" max="6" width="15.28515625" bestFit="1" customWidth="1"/>
    <col min="7" max="7" width="16.140625" bestFit="1" customWidth="1"/>
    <col min="8" max="8" width="27.140625" customWidth="1"/>
    <col min="9" max="9" width="36" bestFit="1" customWidth="1"/>
    <col min="10" max="10" width="11" bestFit="1" customWidth="1"/>
    <col min="11" max="11" width="10.7109375" bestFit="1" customWidth="1"/>
    <col min="12" max="12" width="23.42578125" customWidth="1"/>
    <col min="13" max="13" width="9.28515625" bestFit="1" customWidth="1"/>
    <col min="14" max="14" width="14.85546875" bestFit="1" customWidth="1"/>
    <col min="15" max="15" width="38.28515625" bestFit="1" customWidth="1"/>
    <col min="16" max="16" width="40.140625" customWidth="1"/>
    <col min="17" max="17" width="6.28515625" bestFit="1" customWidth="1"/>
    <col min="18" max="18" width="15.28515625" bestFit="1" customWidth="1"/>
    <col min="19" max="19" width="40.85546875" bestFit="1" customWidth="1"/>
    <col min="20" max="20" width="40.140625" customWidth="1"/>
    <col min="21" max="21" width="16.28515625" bestFit="1" customWidth="1"/>
    <col min="22" max="22" width="40.140625" customWidth="1"/>
    <col min="23" max="23" width="54" bestFit="1" customWidth="1"/>
    <col min="24" max="24" width="40.140625" customWidth="1"/>
    <col min="25" max="25" width="13.28515625" bestFit="1" customWidth="1"/>
    <col min="26" max="26" width="40.140625" customWidth="1"/>
    <col min="27" max="27" width="16.7109375" bestFit="1" customWidth="1"/>
    <col min="28" max="28" width="40.140625" customWidth="1"/>
    <col min="29" max="29" width="14.42578125" customWidth="1"/>
    <col min="30" max="30" width="40.140625" customWidth="1"/>
    <col min="31" max="31" width="18.140625" bestFit="1" customWidth="1"/>
    <col min="32" max="32" width="40.140625" customWidth="1"/>
    <col min="33" max="33" width="25.85546875" bestFit="1" customWidth="1"/>
    <col min="34" max="34" width="40.140625" customWidth="1"/>
    <col min="35" max="35" width="9.5703125" bestFit="1" customWidth="1"/>
    <col min="36" max="36" width="38.7109375" customWidth="1"/>
    <col min="37" max="37" width="47.140625" bestFit="1" customWidth="1"/>
    <col min="38" max="39" width="40.140625" customWidth="1"/>
    <col min="40" max="40" width="11.5703125" customWidth="1"/>
    <col min="41" max="41" width="39" bestFit="1" customWidth="1"/>
    <col min="42" max="42" width="16.7109375" customWidth="1"/>
    <col min="43" max="43" width="38.7109375" bestFit="1" customWidth="1"/>
    <col min="48" max="48" width="12.28515625" bestFit="1" customWidth="1"/>
    <col min="49" max="49" width="20.7109375" bestFit="1" customWidth="1"/>
    <col min="53" max="53" width="20.7109375" bestFit="1" customWidth="1"/>
    <col min="54" max="54" width="11.85546875" bestFit="1" customWidth="1"/>
    <col min="57" max="57" width="20.7109375" bestFit="1" customWidth="1"/>
    <col min="58" max="58" width="15.7109375" bestFit="1" customWidth="1"/>
    <col min="61" max="61" width="20.7109375" bestFit="1" customWidth="1"/>
    <col min="62" max="62" width="15" customWidth="1"/>
    <col min="65" max="65" width="20.7109375" bestFit="1" customWidth="1"/>
  </cols>
  <sheetData>
    <row r="1" spans="1:66" x14ac:dyDescent="0.25">
      <c r="A1" s="3" t="s">
        <v>1</v>
      </c>
      <c r="B1" s="3" t="s">
        <v>126</v>
      </c>
      <c r="C1" s="3" t="s">
        <v>217</v>
      </c>
      <c r="D1" s="3"/>
      <c r="E1" s="3" t="s">
        <v>127</v>
      </c>
      <c r="F1" s="3" t="s">
        <v>128</v>
      </c>
      <c r="G1" s="3" t="s">
        <v>129</v>
      </c>
      <c r="H1" s="3"/>
      <c r="I1" s="12" t="s">
        <v>130</v>
      </c>
      <c r="J1" s="3" t="s">
        <v>131</v>
      </c>
      <c r="K1" s="3" t="s">
        <v>132</v>
      </c>
      <c r="L1" s="3"/>
      <c r="M1" s="3" t="s">
        <v>2</v>
      </c>
      <c r="N1" s="3" t="s">
        <v>133</v>
      </c>
      <c r="O1" s="3" t="s">
        <v>134</v>
      </c>
      <c r="P1" s="3"/>
      <c r="Q1" s="3" t="s">
        <v>3</v>
      </c>
      <c r="R1" s="3" t="s">
        <v>135</v>
      </c>
      <c r="S1" s="3" t="s">
        <v>136</v>
      </c>
      <c r="T1" s="3"/>
      <c r="U1" s="3" t="s">
        <v>137</v>
      </c>
      <c r="V1" s="3"/>
      <c r="W1" s="3" t="s">
        <v>180</v>
      </c>
      <c r="X1" s="3"/>
      <c r="Y1" s="3" t="s">
        <v>138</v>
      </c>
      <c r="Z1" s="3"/>
      <c r="AA1" s="3" t="s">
        <v>139</v>
      </c>
      <c r="AB1" s="3"/>
      <c r="AC1" s="3" t="s">
        <v>48</v>
      </c>
      <c r="AD1" s="3"/>
      <c r="AE1" s="3" t="s">
        <v>49</v>
      </c>
      <c r="AF1" s="3"/>
      <c r="AG1" s="3" t="s">
        <v>50</v>
      </c>
      <c r="AH1" s="3"/>
      <c r="AI1" s="3" t="s">
        <v>51</v>
      </c>
      <c r="AJ1" s="3"/>
      <c r="AK1" s="3" t="s">
        <v>216</v>
      </c>
      <c r="AL1" s="4"/>
      <c r="AM1" s="5" t="s">
        <v>30</v>
      </c>
      <c r="AN1" s="6" t="s">
        <v>52</v>
      </c>
      <c r="AO1" s="4" t="s">
        <v>53</v>
      </c>
      <c r="AP1" s="4"/>
      <c r="AQ1" s="4" t="s">
        <v>54</v>
      </c>
      <c r="AV1" s="18" t="s">
        <v>373</v>
      </c>
      <c r="AW1" s="18" t="s">
        <v>208</v>
      </c>
      <c r="AX1" s="18" t="s">
        <v>209</v>
      </c>
      <c r="BA1" s="18" t="s">
        <v>208</v>
      </c>
      <c r="BB1" s="18" t="s">
        <v>210</v>
      </c>
      <c r="BE1" s="18" t="s">
        <v>208</v>
      </c>
      <c r="BF1" s="18" t="s">
        <v>211</v>
      </c>
      <c r="BI1" s="18" t="s">
        <v>208</v>
      </c>
      <c r="BJ1" s="18" t="s">
        <v>212</v>
      </c>
      <c r="BM1" s="18" t="s">
        <v>208</v>
      </c>
      <c r="BN1" s="18" t="s">
        <v>218</v>
      </c>
    </row>
    <row r="2" spans="1:66" ht="14.6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8"/>
      <c r="P2" s="7"/>
      <c r="Q2" s="7"/>
      <c r="R2" s="7"/>
      <c r="S2" s="8"/>
      <c r="T2" s="8"/>
      <c r="U2" s="7"/>
      <c r="V2" s="7"/>
      <c r="W2" s="7" t="s">
        <v>257</v>
      </c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8"/>
      <c r="AV2" t="s">
        <v>213</v>
      </c>
      <c r="AW2" t="s">
        <v>28</v>
      </c>
      <c r="AX2" t="s">
        <v>36</v>
      </c>
      <c r="BA2" t="s">
        <v>28</v>
      </c>
      <c r="BB2" t="s">
        <v>36</v>
      </c>
      <c r="BE2" t="s">
        <v>28</v>
      </c>
      <c r="BF2" t="s">
        <v>36</v>
      </c>
      <c r="BI2" t="s">
        <v>28</v>
      </c>
      <c r="BJ2" t="s">
        <v>36</v>
      </c>
      <c r="BM2" t="s">
        <v>28</v>
      </c>
      <c r="BN2" t="s">
        <v>36</v>
      </c>
    </row>
    <row r="3" spans="1:66" ht="14.65" customHeight="1" x14ac:dyDescent="0.25">
      <c r="A3" s="74" t="s">
        <v>141</v>
      </c>
      <c r="B3" s="74" t="s">
        <v>1093</v>
      </c>
      <c r="C3" s="9" t="s">
        <v>1094</v>
      </c>
      <c r="D3" s="9"/>
      <c r="E3" s="9"/>
      <c r="F3" s="9"/>
      <c r="G3" s="9"/>
      <c r="H3" s="8"/>
      <c r="I3" s="8"/>
      <c r="J3" s="8"/>
      <c r="K3" s="8"/>
      <c r="L3" s="8"/>
      <c r="M3" s="74" t="s">
        <v>141</v>
      </c>
      <c r="N3" s="74" t="s">
        <v>1093</v>
      </c>
      <c r="O3" s="9" t="s">
        <v>1094</v>
      </c>
      <c r="P3" s="7"/>
      <c r="Q3" s="74" t="s">
        <v>141</v>
      </c>
      <c r="R3" s="74" t="s">
        <v>1093</v>
      </c>
      <c r="S3" s="9" t="s">
        <v>1094</v>
      </c>
      <c r="T3" s="8"/>
      <c r="U3" s="8" t="s">
        <v>143</v>
      </c>
      <c r="V3" s="8"/>
      <c r="W3" s="9" t="s">
        <v>1100</v>
      </c>
      <c r="X3" s="8"/>
      <c r="Y3" s="8" t="s">
        <v>178</v>
      </c>
      <c r="Z3" s="8"/>
      <c r="AA3" s="8" t="s">
        <v>145</v>
      </c>
      <c r="AB3" s="8"/>
      <c r="AC3" s="8" t="s">
        <v>55</v>
      </c>
      <c r="AD3" s="8"/>
      <c r="AE3" s="8" t="s">
        <v>82</v>
      </c>
      <c r="AF3" s="7"/>
      <c r="AG3" t="s">
        <v>750</v>
      </c>
      <c r="AH3" s="7"/>
      <c r="AI3" s="7" t="s">
        <v>57</v>
      </c>
      <c r="AJ3" s="8"/>
      <c r="AK3" s="74"/>
      <c r="AL3" s="74"/>
      <c r="AM3" s="7" t="s">
        <v>58</v>
      </c>
      <c r="AN3" s="1" t="s">
        <v>35</v>
      </c>
      <c r="AO3" s="9"/>
      <c r="AQ3" s="9"/>
      <c r="AV3" t="s">
        <v>309</v>
      </c>
      <c r="AW3" t="s">
        <v>0</v>
      </c>
      <c r="AX3" t="s">
        <v>35</v>
      </c>
      <c r="BA3" t="s">
        <v>0</v>
      </c>
      <c r="BB3" t="s">
        <v>35</v>
      </c>
      <c r="BE3" t="s">
        <v>0</v>
      </c>
      <c r="BF3" t="s">
        <v>35</v>
      </c>
      <c r="BI3" t="s">
        <v>0</v>
      </c>
      <c r="BJ3" t="s">
        <v>35</v>
      </c>
      <c r="BM3" t="s">
        <v>0</v>
      </c>
      <c r="BN3" t="s">
        <v>35</v>
      </c>
    </row>
    <row r="4" spans="1:66" ht="14.65" customHeight="1" x14ac:dyDescent="0.25">
      <c r="A4" s="74" t="s">
        <v>1096</v>
      </c>
      <c r="B4" s="74" t="s">
        <v>1095</v>
      </c>
      <c r="C4" s="9" t="s">
        <v>1097</v>
      </c>
      <c r="D4" s="9"/>
      <c r="E4" s="9"/>
      <c r="F4" s="9"/>
      <c r="G4" s="9"/>
      <c r="H4" s="8"/>
      <c r="I4" s="8"/>
      <c r="J4" s="8"/>
      <c r="K4" s="8"/>
      <c r="L4" s="8"/>
      <c r="M4" s="74" t="s">
        <v>1096</v>
      </c>
      <c r="N4" s="74" t="s">
        <v>1095</v>
      </c>
      <c r="O4" s="9" t="s">
        <v>1097</v>
      </c>
      <c r="P4" s="7"/>
      <c r="Q4" s="74" t="s">
        <v>1096</v>
      </c>
      <c r="R4" s="74" t="s">
        <v>1095</v>
      </c>
      <c r="S4" s="9" t="s">
        <v>1097</v>
      </c>
      <c r="T4" s="11"/>
      <c r="U4" s="8" t="s">
        <v>38</v>
      </c>
      <c r="V4" s="8"/>
      <c r="W4" s="8"/>
      <c r="X4" s="8"/>
      <c r="Y4" s="8" t="s">
        <v>177</v>
      </c>
      <c r="Z4" s="8"/>
      <c r="AA4" s="8" t="s">
        <v>149</v>
      </c>
      <c r="AB4" s="8"/>
      <c r="AC4" s="8" t="s">
        <v>59</v>
      </c>
      <c r="AD4" s="8"/>
      <c r="AE4" s="8" t="s">
        <v>78</v>
      </c>
      <c r="AF4" s="7"/>
      <c r="AG4" s="7" t="s">
        <v>278</v>
      </c>
      <c r="AH4" s="7"/>
      <c r="AI4" s="7" t="s">
        <v>62</v>
      </c>
      <c r="AJ4" s="11"/>
      <c r="AK4" s="74"/>
      <c r="AL4" s="74"/>
      <c r="AM4" t="s">
        <v>63</v>
      </c>
      <c r="AN4" s="10" t="s">
        <v>36</v>
      </c>
      <c r="AQ4" s="9"/>
      <c r="AV4" t="s">
        <v>310</v>
      </c>
      <c r="AW4" t="s">
        <v>219</v>
      </c>
      <c r="AX4" t="s">
        <v>36</v>
      </c>
      <c r="BA4" t="s">
        <v>219</v>
      </c>
      <c r="BB4" t="s">
        <v>35</v>
      </c>
      <c r="BE4" t="s">
        <v>219</v>
      </c>
      <c r="BF4" t="s">
        <v>35</v>
      </c>
      <c r="BI4" t="s">
        <v>219</v>
      </c>
      <c r="BJ4" t="s">
        <v>36</v>
      </c>
      <c r="BM4" t="s">
        <v>219</v>
      </c>
      <c r="BN4" t="s">
        <v>35</v>
      </c>
    </row>
    <row r="5" spans="1:66" ht="15.2" customHeight="1" x14ac:dyDescent="0.25">
      <c r="A5" s="8" t="s">
        <v>37</v>
      </c>
      <c r="B5" s="8" t="s">
        <v>162</v>
      </c>
      <c r="C5" s="9" t="s">
        <v>1098</v>
      </c>
      <c r="D5" s="9"/>
      <c r="E5" s="9"/>
      <c r="F5" s="9"/>
      <c r="G5" s="9"/>
      <c r="H5" s="8"/>
      <c r="I5" s="8"/>
      <c r="J5" s="8"/>
      <c r="K5" s="8"/>
      <c r="L5" s="8"/>
      <c r="M5" s="8" t="s">
        <v>37</v>
      </c>
      <c r="N5" s="8" t="s">
        <v>162</v>
      </c>
      <c r="O5" s="9" t="s">
        <v>1098</v>
      </c>
      <c r="P5" s="7"/>
      <c r="Q5" s="8" t="s">
        <v>37</v>
      </c>
      <c r="R5" s="8" t="s">
        <v>162</v>
      </c>
      <c r="S5" s="9" t="s">
        <v>1098</v>
      </c>
      <c r="T5" s="8"/>
      <c r="U5" s="8" t="s">
        <v>150</v>
      </c>
      <c r="V5" s="8"/>
      <c r="W5" s="8" t="s">
        <v>179</v>
      </c>
      <c r="X5" s="8"/>
      <c r="Y5" s="8" t="s">
        <v>169</v>
      </c>
      <c r="Z5" s="8"/>
      <c r="AA5" s="8" t="s">
        <v>152</v>
      </c>
      <c r="AB5" s="8"/>
      <c r="AC5" s="8" t="s">
        <v>64</v>
      </c>
      <c r="AD5" s="8"/>
      <c r="AE5" s="8" t="s">
        <v>65</v>
      </c>
      <c r="AF5" s="7"/>
      <c r="AG5" t="s">
        <v>424</v>
      </c>
      <c r="AH5" s="7"/>
      <c r="AI5" s="7" t="s">
        <v>67</v>
      </c>
      <c r="AJ5" s="8"/>
      <c r="AK5" s="8"/>
      <c r="AL5" s="8"/>
      <c r="AM5" t="s">
        <v>68</v>
      </c>
      <c r="AV5" t="s">
        <v>311</v>
      </c>
      <c r="AW5" t="s">
        <v>215</v>
      </c>
      <c r="AX5" t="s">
        <v>35</v>
      </c>
      <c r="BA5" t="s">
        <v>215</v>
      </c>
      <c r="BB5" t="s">
        <v>35</v>
      </c>
      <c r="BE5" t="s">
        <v>215</v>
      </c>
      <c r="BF5" t="s">
        <v>36</v>
      </c>
      <c r="BI5" t="s">
        <v>215</v>
      </c>
      <c r="BJ5" t="s">
        <v>36</v>
      </c>
      <c r="BM5" t="s">
        <v>215</v>
      </c>
      <c r="BN5" t="s">
        <v>36</v>
      </c>
    </row>
    <row r="6" spans="1:66" ht="15.2" customHeight="1" x14ac:dyDescent="0.25">
      <c r="A6" s="8"/>
      <c r="B6" s="8"/>
      <c r="C6" s="7"/>
      <c r="D6" s="9"/>
      <c r="E6" s="9"/>
      <c r="F6" s="9"/>
      <c r="G6" s="9"/>
      <c r="H6" s="8"/>
      <c r="I6" s="8"/>
      <c r="J6" s="8"/>
      <c r="K6" s="8"/>
      <c r="L6" s="8"/>
      <c r="M6" s="74"/>
      <c r="N6" s="74"/>
      <c r="O6" s="9"/>
      <c r="P6" s="7"/>
      <c r="Q6" s="8"/>
      <c r="R6" s="8"/>
      <c r="S6" s="9"/>
      <c r="T6" s="8"/>
      <c r="U6" s="8" t="s">
        <v>154</v>
      </c>
      <c r="V6" s="7"/>
      <c r="X6" s="8"/>
      <c r="Y6" s="7" t="s">
        <v>804</v>
      </c>
      <c r="Z6" s="8"/>
      <c r="AA6" s="8" t="s">
        <v>156</v>
      </c>
      <c r="AB6" s="8"/>
      <c r="AC6" s="8" t="s">
        <v>69</v>
      </c>
      <c r="AD6" s="8"/>
      <c r="AE6" s="8" t="s">
        <v>60</v>
      </c>
      <c r="AF6" s="7"/>
      <c r="AG6" s="8" t="s">
        <v>56</v>
      </c>
      <c r="AH6" s="7"/>
      <c r="AI6" s="8" t="s">
        <v>72</v>
      </c>
      <c r="AJ6" s="8"/>
      <c r="AK6" s="11"/>
      <c r="AV6" t="s">
        <v>312</v>
      </c>
      <c r="AW6" t="s">
        <v>1</v>
      </c>
      <c r="AX6" t="s">
        <v>35</v>
      </c>
      <c r="BA6" t="s">
        <v>1</v>
      </c>
      <c r="BB6" t="s">
        <v>35</v>
      </c>
      <c r="BE6" t="s">
        <v>1</v>
      </c>
      <c r="BF6" t="s">
        <v>35</v>
      </c>
      <c r="BI6" t="s">
        <v>1</v>
      </c>
      <c r="BJ6" t="s">
        <v>35</v>
      </c>
      <c r="BM6" t="s">
        <v>1</v>
      </c>
      <c r="BN6" t="s">
        <v>35</v>
      </c>
    </row>
    <row r="7" spans="1:66" ht="15.2" customHeight="1" x14ac:dyDescent="0.25">
      <c r="A7" s="8"/>
      <c r="B7" s="8"/>
      <c r="C7" s="7"/>
      <c r="D7" s="11"/>
      <c r="E7" s="11"/>
      <c r="F7" s="11"/>
      <c r="G7" s="11"/>
      <c r="H7" s="13"/>
      <c r="I7" s="11"/>
      <c r="J7" s="11"/>
      <c r="K7" s="11"/>
      <c r="L7" s="13"/>
      <c r="M7" s="74"/>
      <c r="N7" s="74"/>
      <c r="O7" s="9"/>
      <c r="P7" s="7"/>
      <c r="Q7" s="8"/>
      <c r="R7" s="8"/>
      <c r="S7" s="11"/>
      <c r="T7" s="11"/>
      <c r="U7" s="7" t="s">
        <v>158</v>
      </c>
      <c r="V7" s="8"/>
      <c r="W7" s="9" t="s">
        <v>1101</v>
      </c>
      <c r="X7" s="8"/>
      <c r="Y7" s="8" t="s">
        <v>165</v>
      </c>
      <c r="Z7" s="8"/>
      <c r="AA7" s="8" t="s">
        <v>160</v>
      </c>
      <c r="AB7" s="8"/>
      <c r="AC7" s="8" t="s">
        <v>73</v>
      </c>
      <c r="AD7" s="8"/>
      <c r="AE7" s="8" t="s">
        <v>70</v>
      </c>
      <c r="AF7" s="7"/>
      <c r="AG7" s="8" t="s">
        <v>61</v>
      </c>
      <c r="AH7" s="7"/>
      <c r="AI7" s="8" t="s">
        <v>76</v>
      </c>
      <c r="AJ7" s="11"/>
      <c r="AK7" s="11"/>
      <c r="AV7" t="s">
        <v>313</v>
      </c>
      <c r="AW7" t="s">
        <v>2</v>
      </c>
      <c r="AX7" t="s">
        <v>36</v>
      </c>
      <c r="BA7" t="s">
        <v>2</v>
      </c>
      <c r="BB7" t="s">
        <v>36</v>
      </c>
      <c r="BE7" t="s">
        <v>2</v>
      </c>
      <c r="BF7" t="s">
        <v>36</v>
      </c>
      <c r="BI7" t="s">
        <v>2</v>
      </c>
      <c r="BJ7" t="s">
        <v>36</v>
      </c>
      <c r="BM7" t="s">
        <v>2</v>
      </c>
      <c r="BN7" t="s">
        <v>36</v>
      </c>
    </row>
    <row r="8" spans="1:66" x14ac:dyDescent="0.25">
      <c r="A8" s="8"/>
      <c r="B8" s="8"/>
      <c r="C8" s="7"/>
      <c r="D8" s="11"/>
      <c r="E8" s="11"/>
      <c r="F8" s="11"/>
      <c r="G8" s="11"/>
      <c r="H8" s="13"/>
      <c r="I8" s="11"/>
      <c r="J8" s="11"/>
      <c r="K8" s="11"/>
      <c r="L8" s="13"/>
      <c r="M8" s="8"/>
      <c r="N8" s="8"/>
      <c r="O8" s="9"/>
      <c r="P8" s="7"/>
      <c r="Q8" s="8"/>
      <c r="R8" s="8"/>
      <c r="S8" s="11"/>
      <c r="T8" s="11"/>
      <c r="U8" s="8" t="s">
        <v>164</v>
      </c>
      <c r="V8" s="8"/>
      <c r="W8" s="8"/>
      <c r="X8" s="8"/>
      <c r="Y8" s="7" t="s">
        <v>803</v>
      </c>
      <c r="Z8" s="8"/>
      <c r="AA8" s="8"/>
      <c r="AB8" s="8"/>
      <c r="AC8" s="7" t="s">
        <v>77</v>
      </c>
      <c r="AD8" s="8"/>
      <c r="AE8" s="8" t="s">
        <v>74</v>
      </c>
      <c r="AF8" s="7"/>
      <c r="AG8" t="s">
        <v>866</v>
      </c>
      <c r="AH8" s="7"/>
      <c r="AI8" s="7" t="s">
        <v>80</v>
      </c>
      <c r="AJ8" s="11"/>
      <c r="AK8" s="11"/>
      <c r="AV8" t="s">
        <v>314</v>
      </c>
      <c r="AW8" t="s">
        <v>3</v>
      </c>
      <c r="AX8" t="s">
        <v>35</v>
      </c>
      <c r="BA8" t="s">
        <v>3</v>
      </c>
      <c r="BB8" t="s">
        <v>35</v>
      </c>
      <c r="BE8" t="s">
        <v>3</v>
      </c>
      <c r="BF8" t="s">
        <v>36</v>
      </c>
      <c r="BI8" t="s">
        <v>3</v>
      </c>
      <c r="BJ8" t="s">
        <v>36</v>
      </c>
      <c r="BM8" t="s">
        <v>3</v>
      </c>
      <c r="BN8" t="s">
        <v>36</v>
      </c>
    </row>
    <row r="9" spans="1:66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  <c r="N9" s="8"/>
      <c r="O9" s="7"/>
      <c r="P9" s="7"/>
      <c r="Q9" s="8"/>
      <c r="R9" s="8"/>
      <c r="S9" s="11"/>
      <c r="T9" s="11"/>
      <c r="U9" s="8" t="s">
        <v>76</v>
      </c>
      <c r="V9" s="8"/>
      <c r="W9" s="8"/>
      <c r="X9" s="8"/>
      <c r="Y9" s="8" t="s">
        <v>151</v>
      </c>
      <c r="Z9" s="8"/>
      <c r="AA9" s="8"/>
      <c r="AB9" s="8"/>
      <c r="AC9" s="7" t="s">
        <v>648</v>
      </c>
      <c r="AD9" s="8"/>
      <c r="AF9" s="7"/>
      <c r="AG9" s="8" t="s">
        <v>66</v>
      </c>
      <c r="AH9" s="7"/>
      <c r="AI9" s="8" t="s">
        <v>84</v>
      </c>
      <c r="AJ9" s="11"/>
      <c r="AK9" s="9"/>
      <c r="AV9" t="s">
        <v>315</v>
      </c>
      <c r="AW9" t="s">
        <v>4</v>
      </c>
      <c r="AX9" t="s">
        <v>36</v>
      </c>
      <c r="BA9" t="s">
        <v>4</v>
      </c>
      <c r="BB9" t="s">
        <v>36</v>
      </c>
      <c r="BE9" t="s">
        <v>4</v>
      </c>
      <c r="BF9" t="s">
        <v>35</v>
      </c>
      <c r="BI9" t="s">
        <v>4</v>
      </c>
      <c r="BJ9" t="s">
        <v>36</v>
      </c>
      <c r="BM9" t="s">
        <v>4</v>
      </c>
      <c r="BN9" t="s">
        <v>35</v>
      </c>
    </row>
    <row r="10" spans="1:66" x14ac:dyDescent="0.25">
      <c r="A10" s="7"/>
      <c r="B10" s="7"/>
      <c r="C10" s="7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  <c r="T10" s="8"/>
      <c r="U10" s="8" t="s">
        <v>167</v>
      </c>
      <c r="V10" s="7"/>
      <c r="W10" s="8"/>
      <c r="X10" s="8"/>
      <c r="Y10" s="8" t="s">
        <v>155</v>
      </c>
      <c r="Z10" s="8"/>
      <c r="AA10" s="8"/>
      <c r="AB10" s="8"/>
      <c r="AC10" s="8" t="s">
        <v>81</v>
      </c>
      <c r="AD10" s="8"/>
      <c r="AF10" s="7"/>
      <c r="AG10" t="s">
        <v>454</v>
      </c>
      <c r="AH10" s="7"/>
      <c r="AI10" s="7"/>
      <c r="AJ10" s="7"/>
      <c r="AK10" s="9"/>
      <c r="AV10" t="s">
        <v>316</v>
      </c>
      <c r="AW10" t="s">
        <v>5</v>
      </c>
      <c r="AX10" t="s">
        <v>36</v>
      </c>
      <c r="BA10" t="s">
        <v>5</v>
      </c>
      <c r="BB10" t="s">
        <v>36</v>
      </c>
      <c r="BE10" t="s">
        <v>5</v>
      </c>
      <c r="BF10" t="s">
        <v>36</v>
      </c>
      <c r="BI10" t="s">
        <v>5</v>
      </c>
      <c r="BJ10" t="s">
        <v>36</v>
      </c>
      <c r="BM10" t="s">
        <v>5</v>
      </c>
      <c r="BN10" t="s">
        <v>36</v>
      </c>
    </row>
    <row r="11" spans="1:66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8"/>
      <c r="X11" s="8"/>
      <c r="Y11" s="8" t="s">
        <v>159</v>
      </c>
      <c r="Z11" s="8"/>
      <c r="AA11" s="8"/>
      <c r="AB11" s="8"/>
      <c r="AC11" s="8" t="s">
        <v>85</v>
      </c>
      <c r="AD11" s="8"/>
      <c r="AE11" s="8"/>
      <c r="AF11" s="7"/>
      <c r="AG11" s="8" t="s">
        <v>71</v>
      </c>
      <c r="AH11" s="7"/>
      <c r="AI11" s="7"/>
      <c r="AJ11" s="7"/>
      <c r="AK11" s="9"/>
      <c r="AV11" t="s">
        <v>317</v>
      </c>
      <c r="AW11" t="s">
        <v>188</v>
      </c>
      <c r="AX11" t="s">
        <v>35</v>
      </c>
      <c r="BA11" t="s">
        <v>188</v>
      </c>
      <c r="BB11" t="s">
        <v>35</v>
      </c>
      <c r="BE11" t="s">
        <v>188</v>
      </c>
      <c r="BF11" t="s">
        <v>35</v>
      </c>
      <c r="BI11" t="s">
        <v>188</v>
      </c>
      <c r="BJ11" t="s">
        <v>35</v>
      </c>
      <c r="BM11" t="s">
        <v>188</v>
      </c>
      <c r="BN11" t="s">
        <v>35</v>
      </c>
    </row>
    <row r="12" spans="1:66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8"/>
      <c r="X12" s="8"/>
      <c r="Y12" s="8" t="s">
        <v>144</v>
      </c>
      <c r="Z12" s="8"/>
      <c r="AA12" s="8"/>
      <c r="AB12" s="8"/>
      <c r="AC12" s="8" t="s">
        <v>87</v>
      </c>
      <c r="AD12" s="7"/>
      <c r="AE12" s="8"/>
      <c r="AF12" s="7"/>
      <c r="AG12" t="s">
        <v>524</v>
      </c>
      <c r="AH12" s="7"/>
      <c r="AI12" s="7"/>
      <c r="AJ12" s="7"/>
      <c r="AK12" s="9"/>
      <c r="AV12" t="s">
        <v>318</v>
      </c>
      <c r="AW12" t="s">
        <v>7</v>
      </c>
      <c r="AX12" t="s">
        <v>35</v>
      </c>
      <c r="BA12" t="s">
        <v>7</v>
      </c>
      <c r="BB12" t="s">
        <v>35</v>
      </c>
      <c r="BE12" t="s">
        <v>7</v>
      </c>
      <c r="BF12" t="s">
        <v>35</v>
      </c>
      <c r="BI12" t="s">
        <v>7</v>
      </c>
      <c r="BJ12" t="s">
        <v>35</v>
      </c>
      <c r="BM12" t="s">
        <v>7</v>
      </c>
      <c r="BN12" t="s">
        <v>35</v>
      </c>
    </row>
    <row r="13" spans="1:66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X13" s="8"/>
      <c r="Y13" s="8" t="s">
        <v>148</v>
      </c>
      <c r="Z13" s="8"/>
      <c r="AA13" s="8"/>
      <c r="AB13" s="8"/>
      <c r="AC13" s="8" t="s">
        <v>89</v>
      </c>
      <c r="AD13" s="7"/>
      <c r="AE13" s="8"/>
      <c r="AF13" s="7"/>
      <c r="AG13" s="8" t="s">
        <v>75</v>
      </c>
      <c r="AH13" s="7"/>
      <c r="AI13" s="7"/>
      <c r="AJ13" s="7"/>
      <c r="AK13" s="9"/>
      <c r="AV13" t="s">
        <v>319</v>
      </c>
      <c r="AW13" t="s">
        <v>8</v>
      </c>
      <c r="AX13" t="s">
        <v>35</v>
      </c>
      <c r="BA13" t="s">
        <v>8</v>
      </c>
      <c r="BB13" t="s">
        <v>35</v>
      </c>
      <c r="BE13" t="s">
        <v>8</v>
      </c>
      <c r="BF13" t="s">
        <v>35</v>
      </c>
      <c r="BI13" t="s">
        <v>8</v>
      </c>
      <c r="BJ13" t="s">
        <v>35</v>
      </c>
      <c r="BM13" t="s">
        <v>8</v>
      </c>
      <c r="BN13" t="s">
        <v>35</v>
      </c>
    </row>
    <row r="14" spans="1:6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8"/>
      <c r="X14" s="8"/>
      <c r="Y14" s="8" t="s">
        <v>40</v>
      </c>
      <c r="Z14" s="8"/>
      <c r="AA14" s="8"/>
      <c r="AB14" s="8"/>
      <c r="AC14" s="8" t="s">
        <v>91</v>
      </c>
      <c r="AD14" s="7"/>
      <c r="AE14" s="8"/>
      <c r="AF14" s="7"/>
      <c r="AG14" t="s">
        <v>302</v>
      </c>
      <c r="AH14" s="7"/>
      <c r="AI14" s="7"/>
      <c r="AJ14" s="7"/>
      <c r="AK14" s="9"/>
      <c r="AV14" t="s">
        <v>320</v>
      </c>
      <c r="AW14" t="s">
        <v>9</v>
      </c>
      <c r="AX14" t="s">
        <v>36</v>
      </c>
      <c r="BA14" t="s">
        <v>9</v>
      </c>
      <c r="BB14" t="s">
        <v>36</v>
      </c>
      <c r="BE14" t="s">
        <v>9</v>
      </c>
      <c r="BF14" t="s">
        <v>36</v>
      </c>
      <c r="BI14" t="s">
        <v>9</v>
      </c>
      <c r="BJ14" t="s">
        <v>36</v>
      </c>
      <c r="BM14" t="s">
        <v>9</v>
      </c>
      <c r="BN14" t="s">
        <v>36</v>
      </c>
    </row>
    <row r="15" spans="1:66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9"/>
      <c r="X15" s="8"/>
      <c r="Y15" s="8" t="s">
        <v>168</v>
      </c>
      <c r="Z15" s="8"/>
      <c r="AA15" s="8"/>
      <c r="AB15" s="8"/>
      <c r="AC15" s="7"/>
      <c r="AD15" s="7"/>
      <c r="AE15" s="8"/>
      <c r="AF15" s="7"/>
      <c r="AG15" s="8" t="s">
        <v>79</v>
      </c>
      <c r="AH15" s="7"/>
      <c r="AI15" s="7"/>
      <c r="AJ15" s="7"/>
      <c r="AK15" s="9"/>
      <c r="AV15" t="s">
        <v>321</v>
      </c>
      <c r="AW15" t="s">
        <v>275</v>
      </c>
      <c r="AX15" t="s">
        <v>36</v>
      </c>
      <c r="BA15" t="s">
        <v>275</v>
      </c>
      <c r="BB15" t="s">
        <v>36</v>
      </c>
      <c r="BE15" t="s">
        <v>275</v>
      </c>
      <c r="BF15" t="s">
        <v>36</v>
      </c>
      <c r="BI15" t="s">
        <v>275</v>
      </c>
      <c r="BJ15" t="s">
        <v>36</v>
      </c>
      <c r="BM15" t="s">
        <v>275</v>
      </c>
      <c r="BN15" t="s">
        <v>36</v>
      </c>
    </row>
    <row r="16" spans="1:6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8"/>
      <c r="X16" s="8"/>
      <c r="Y16" s="8" t="s">
        <v>170</v>
      </c>
      <c r="Z16" s="8"/>
      <c r="AA16" s="8"/>
      <c r="AB16" s="8"/>
      <c r="AC16" s="7"/>
      <c r="AD16" s="7"/>
      <c r="AE16" s="8"/>
      <c r="AF16" s="7"/>
      <c r="AG16" s="8" t="s">
        <v>83</v>
      </c>
      <c r="AH16" s="7"/>
      <c r="AI16" s="7"/>
      <c r="AJ16" s="7"/>
      <c r="AK16" s="9"/>
      <c r="AV16" t="s">
        <v>322</v>
      </c>
      <c r="AW16" t="s">
        <v>189</v>
      </c>
      <c r="AX16" t="s">
        <v>36</v>
      </c>
      <c r="BA16" t="s">
        <v>189</v>
      </c>
      <c r="BB16" t="s">
        <v>36</v>
      </c>
      <c r="BE16" t="s">
        <v>189</v>
      </c>
      <c r="BF16" t="s">
        <v>36</v>
      </c>
      <c r="BI16" t="s">
        <v>189</v>
      </c>
      <c r="BJ16" t="s">
        <v>36</v>
      </c>
      <c r="BM16" t="s">
        <v>189</v>
      </c>
      <c r="BN16" t="s">
        <v>36</v>
      </c>
    </row>
    <row r="17" spans="1:6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X17" s="8"/>
      <c r="Y17" s="8" t="s">
        <v>171</v>
      </c>
      <c r="Z17" s="8"/>
      <c r="AA17" s="8"/>
      <c r="AB17" s="8"/>
      <c r="AC17" s="7"/>
      <c r="AD17" s="7"/>
      <c r="AE17" s="8"/>
      <c r="AF17" s="7"/>
      <c r="AG17" t="s">
        <v>299</v>
      </c>
      <c r="AH17" s="7"/>
      <c r="AI17" s="7"/>
      <c r="AJ17" s="7"/>
      <c r="AV17" t="s">
        <v>323</v>
      </c>
      <c r="AW17" t="s">
        <v>190</v>
      </c>
      <c r="AX17" t="s">
        <v>36</v>
      </c>
      <c r="BA17" t="s">
        <v>190</v>
      </c>
      <c r="BB17" t="s">
        <v>36</v>
      </c>
      <c r="BE17" t="s">
        <v>190</v>
      </c>
      <c r="BF17" t="s">
        <v>36</v>
      </c>
      <c r="BI17" t="s">
        <v>190</v>
      </c>
      <c r="BJ17" t="s">
        <v>36</v>
      </c>
      <c r="BM17" t="s">
        <v>190</v>
      </c>
      <c r="BN17" t="s">
        <v>36</v>
      </c>
    </row>
    <row r="18" spans="1:6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8"/>
      <c r="X18" s="8"/>
      <c r="Y18" s="8" t="s">
        <v>172</v>
      </c>
      <c r="Z18" s="8"/>
      <c r="AA18" s="8"/>
      <c r="AB18" s="8"/>
      <c r="AC18" s="7"/>
      <c r="AD18" s="8"/>
      <c r="AE18" s="8"/>
      <c r="AF18" s="7"/>
      <c r="AG18" s="8" t="s">
        <v>86</v>
      </c>
      <c r="AH18" s="7"/>
      <c r="AI18" s="7"/>
      <c r="AJ18" s="7"/>
      <c r="AK18" s="7"/>
      <c r="AV18" t="s">
        <v>324</v>
      </c>
      <c r="AW18" t="s">
        <v>191</v>
      </c>
      <c r="AX18" t="s">
        <v>35</v>
      </c>
      <c r="BA18" t="s">
        <v>191</v>
      </c>
      <c r="BB18" t="s">
        <v>35</v>
      </c>
      <c r="BE18" t="s">
        <v>191</v>
      </c>
      <c r="BF18" t="s">
        <v>36</v>
      </c>
      <c r="BI18" t="s">
        <v>191</v>
      </c>
      <c r="BJ18" t="s">
        <v>36</v>
      </c>
      <c r="BM18" t="s">
        <v>191</v>
      </c>
      <c r="BN18" t="s">
        <v>36</v>
      </c>
    </row>
    <row r="19" spans="1:6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8"/>
      <c r="X19" s="8"/>
      <c r="Y19" s="8" t="s">
        <v>39</v>
      </c>
      <c r="Z19" s="8"/>
      <c r="AA19" s="8"/>
      <c r="AB19" s="8"/>
      <c r="AC19" s="8"/>
      <c r="AD19" s="8"/>
      <c r="AE19" s="8"/>
      <c r="AF19" s="7"/>
      <c r="AG19" t="s">
        <v>62</v>
      </c>
      <c r="AH19" s="7"/>
      <c r="AI19" s="7"/>
      <c r="AJ19" s="7"/>
      <c r="AK19" s="7"/>
      <c r="AV19" t="s">
        <v>325</v>
      </c>
      <c r="AW19" t="s">
        <v>192</v>
      </c>
      <c r="AX19" t="s">
        <v>35</v>
      </c>
      <c r="BA19" t="s">
        <v>192</v>
      </c>
      <c r="BB19" t="s">
        <v>35</v>
      </c>
      <c r="BE19" t="s">
        <v>192</v>
      </c>
      <c r="BF19" t="s">
        <v>36</v>
      </c>
      <c r="BI19" t="s">
        <v>192</v>
      </c>
      <c r="BJ19" t="s">
        <v>36</v>
      </c>
      <c r="BM19" t="s">
        <v>192</v>
      </c>
      <c r="BN19" t="s">
        <v>36</v>
      </c>
    </row>
    <row r="20" spans="1:66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8"/>
      <c r="X20" s="8"/>
      <c r="Y20" s="8" t="s">
        <v>173</v>
      </c>
      <c r="Z20" s="8"/>
      <c r="AA20" s="8"/>
      <c r="AB20" s="8"/>
      <c r="AC20" s="8"/>
      <c r="AD20" s="8"/>
      <c r="AE20" s="8"/>
      <c r="AF20" s="7"/>
      <c r="AG20" t="s">
        <v>912</v>
      </c>
      <c r="AH20" s="7"/>
      <c r="AI20" s="7"/>
      <c r="AJ20" s="7"/>
      <c r="AK20" s="7"/>
      <c r="AV20" t="s">
        <v>326</v>
      </c>
      <c r="AW20" t="s">
        <v>193</v>
      </c>
      <c r="AX20" t="s">
        <v>35</v>
      </c>
      <c r="BA20" t="s">
        <v>193</v>
      </c>
      <c r="BB20" t="s">
        <v>35</v>
      </c>
      <c r="BE20" t="s">
        <v>193</v>
      </c>
      <c r="BF20" t="s">
        <v>36</v>
      </c>
      <c r="BI20" t="s">
        <v>193</v>
      </c>
      <c r="BJ20" t="s">
        <v>36</v>
      </c>
      <c r="BM20" t="s">
        <v>193</v>
      </c>
      <c r="BN20" t="s">
        <v>36</v>
      </c>
    </row>
    <row r="21" spans="1:6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8"/>
      <c r="X21" s="8"/>
      <c r="Y21" s="8" t="s">
        <v>175</v>
      </c>
      <c r="Z21" s="8"/>
      <c r="AA21" s="8"/>
      <c r="AB21" s="8"/>
      <c r="AC21" s="8"/>
      <c r="AD21" s="8"/>
      <c r="AE21" s="8"/>
      <c r="AF21" s="7"/>
      <c r="AG21" s="8" t="s">
        <v>88</v>
      </c>
      <c r="AH21" s="7"/>
      <c r="AI21" s="7"/>
      <c r="AJ21" s="7"/>
      <c r="AK21" s="7"/>
      <c r="AV21" t="s">
        <v>327</v>
      </c>
      <c r="AW21" t="s">
        <v>194</v>
      </c>
      <c r="AX21" t="s">
        <v>35</v>
      </c>
      <c r="BA21" t="s">
        <v>194</v>
      </c>
      <c r="BB21" t="s">
        <v>36</v>
      </c>
      <c r="BE21" t="s">
        <v>194</v>
      </c>
      <c r="BF21" t="s">
        <v>36</v>
      </c>
      <c r="BI21" t="s">
        <v>194</v>
      </c>
      <c r="BJ21" t="s">
        <v>35</v>
      </c>
      <c r="BM21" t="s">
        <v>194</v>
      </c>
      <c r="BN21" t="s">
        <v>36</v>
      </c>
    </row>
    <row r="22" spans="1:6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8"/>
      <c r="X22" s="8"/>
      <c r="Y22" s="8" t="s">
        <v>176</v>
      </c>
      <c r="Z22" s="8"/>
      <c r="AA22" s="8"/>
      <c r="AB22" s="8"/>
      <c r="AC22" s="8"/>
      <c r="AD22" s="8"/>
      <c r="AE22" s="8"/>
      <c r="AF22" s="7"/>
      <c r="AG22" s="8" t="s">
        <v>90</v>
      </c>
      <c r="AH22" s="7"/>
      <c r="AI22" s="7"/>
      <c r="AJ22" s="7"/>
      <c r="AK22" s="7"/>
      <c r="AV22" t="s">
        <v>328</v>
      </c>
      <c r="AW22" t="s">
        <v>195</v>
      </c>
      <c r="AX22" t="s">
        <v>36</v>
      </c>
      <c r="BA22" t="s">
        <v>195</v>
      </c>
      <c r="BB22" t="s">
        <v>36</v>
      </c>
      <c r="BE22" t="s">
        <v>195</v>
      </c>
      <c r="BF22" t="s">
        <v>36</v>
      </c>
      <c r="BI22" t="s">
        <v>195</v>
      </c>
      <c r="BJ22" t="s">
        <v>35</v>
      </c>
      <c r="BM22" t="s">
        <v>195</v>
      </c>
      <c r="BN22" t="s">
        <v>36</v>
      </c>
    </row>
    <row r="23" spans="1:6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8"/>
      <c r="X23" s="8"/>
      <c r="Y23" s="8" t="s">
        <v>174</v>
      </c>
      <c r="Z23" s="8"/>
      <c r="AA23" s="8"/>
      <c r="AB23" s="8"/>
      <c r="AC23" s="8"/>
      <c r="AD23" s="8"/>
      <c r="AE23" s="8"/>
      <c r="AF23" s="7"/>
      <c r="AG23" s="8" t="s">
        <v>92</v>
      </c>
      <c r="AH23" s="7"/>
      <c r="AI23" s="7"/>
      <c r="AJ23" s="7"/>
      <c r="AK23" s="7"/>
      <c r="AV23" t="s">
        <v>329</v>
      </c>
      <c r="AW23" t="s">
        <v>196</v>
      </c>
      <c r="AX23" t="s">
        <v>36</v>
      </c>
      <c r="BA23" t="s">
        <v>196</v>
      </c>
      <c r="BB23" t="s">
        <v>36</v>
      </c>
      <c r="BE23" t="s">
        <v>196</v>
      </c>
      <c r="BF23" t="s">
        <v>36</v>
      </c>
      <c r="BI23" t="s">
        <v>196</v>
      </c>
      <c r="BJ23" t="s">
        <v>36</v>
      </c>
      <c r="BM23" t="s">
        <v>196</v>
      </c>
      <c r="BN23" t="s">
        <v>36</v>
      </c>
    </row>
    <row r="24" spans="1:6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8"/>
      <c r="X24" s="8"/>
      <c r="Z24" s="7"/>
      <c r="AA24" s="8"/>
      <c r="AB24" s="8"/>
      <c r="AC24" s="8"/>
      <c r="AD24" s="8"/>
      <c r="AE24" s="8"/>
      <c r="AF24" s="7"/>
      <c r="AG24" t="s">
        <v>293</v>
      </c>
      <c r="AH24" s="7"/>
      <c r="AI24" s="7"/>
      <c r="AJ24" s="7"/>
      <c r="AK24" s="7"/>
      <c r="AV24" t="s">
        <v>330</v>
      </c>
      <c r="AW24" t="s">
        <v>197</v>
      </c>
      <c r="AX24" t="s">
        <v>35</v>
      </c>
      <c r="BA24" t="s">
        <v>197</v>
      </c>
      <c r="BB24" t="s">
        <v>35</v>
      </c>
      <c r="BE24" t="s">
        <v>197</v>
      </c>
      <c r="BF24" t="s">
        <v>36</v>
      </c>
      <c r="BI24" t="s">
        <v>197</v>
      </c>
      <c r="BJ24" t="s">
        <v>35</v>
      </c>
      <c r="BM24" t="s">
        <v>197</v>
      </c>
      <c r="BN24" t="s">
        <v>36</v>
      </c>
    </row>
    <row r="25" spans="1:6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8"/>
      <c r="X25" s="8"/>
      <c r="Z25" s="8"/>
      <c r="AA25" s="8"/>
      <c r="AB25" s="8"/>
      <c r="AC25" s="8"/>
      <c r="AD25" s="8"/>
      <c r="AE25" s="8"/>
      <c r="AF25" s="7"/>
      <c r="AG25" s="8" t="s">
        <v>94</v>
      </c>
      <c r="AH25" s="7"/>
      <c r="AI25" s="7"/>
      <c r="AJ25" s="7"/>
      <c r="AK25" s="7"/>
      <c r="AV25" t="s">
        <v>331</v>
      </c>
      <c r="AW25" t="s">
        <v>198</v>
      </c>
      <c r="AX25" t="s">
        <v>35</v>
      </c>
      <c r="BA25" t="s">
        <v>198</v>
      </c>
      <c r="BB25" t="s">
        <v>35</v>
      </c>
      <c r="BE25" t="s">
        <v>198</v>
      </c>
      <c r="BF25" t="s">
        <v>36</v>
      </c>
      <c r="BI25" t="s">
        <v>198</v>
      </c>
      <c r="BJ25" t="s">
        <v>35</v>
      </c>
      <c r="BM25" t="s">
        <v>198</v>
      </c>
      <c r="BN25" t="s">
        <v>36</v>
      </c>
    </row>
    <row r="26" spans="1:6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8"/>
      <c r="X26" s="8"/>
      <c r="Z26" s="7"/>
      <c r="AA26" s="7"/>
      <c r="AB26" s="7"/>
      <c r="AC26" s="8"/>
      <c r="AD26" s="8"/>
      <c r="AE26" s="8"/>
      <c r="AF26" s="7"/>
      <c r="AG26" t="s">
        <v>877</v>
      </c>
      <c r="AH26" s="7"/>
      <c r="AI26" s="7"/>
      <c r="AJ26" s="7"/>
      <c r="AK26" s="7"/>
      <c r="AV26" t="s">
        <v>332</v>
      </c>
      <c r="AW26" t="s">
        <v>30</v>
      </c>
      <c r="AX26" t="s">
        <v>36</v>
      </c>
      <c r="BA26" t="s">
        <v>30</v>
      </c>
      <c r="BB26" t="s">
        <v>36</v>
      </c>
      <c r="BE26" t="s">
        <v>30</v>
      </c>
      <c r="BF26" t="s">
        <v>35</v>
      </c>
      <c r="BI26" t="s">
        <v>30</v>
      </c>
      <c r="BJ26" t="s">
        <v>36</v>
      </c>
      <c r="BM26" t="s">
        <v>30</v>
      </c>
      <c r="BN26" t="s">
        <v>35</v>
      </c>
    </row>
    <row r="27" spans="1:6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8"/>
      <c r="X27" s="8"/>
      <c r="Z27" s="7"/>
      <c r="AA27" s="7"/>
      <c r="AB27" s="7"/>
      <c r="AC27" s="8"/>
      <c r="AD27" s="7"/>
      <c r="AE27" s="8"/>
      <c r="AF27" s="7"/>
      <c r="AG27" t="s">
        <v>522</v>
      </c>
      <c r="AH27" s="7"/>
      <c r="AI27" s="7"/>
      <c r="AJ27" s="7"/>
      <c r="AK27" s="7"/>
      <c r="AV27" t="s">
        <v>333</v>
      </c>
      <c r="AW27" t="s">
        <v>199</v>
      </c>
      <c r="AX27" t="s">
        <v>35</v>
      </c>
      <c r="BA27" t="s">
        <v>199</v>
      </c>
      <c r="BB27" t="s">
        <v>35</v>
      </c>
      <c r="BE27" t="s">
        <v>199</v>
      </c>
      <c r="BF27" t="s">
        <v>36</v>
      </c>
      <c r="BI27" t="s">
        <v>199</v>
      </c>
      <c r="BJ27" t="s">
        <v>36</v>
      </c>
      <c r="BM27" t="s">
        <v>199</v>
      </c>
      <c r="BN27" t="s">
        <v>36</v>
      </c>
    </row>
    <row r="28" spans="1:6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8"/>
      <c r="X28" s="8"/>
      <c r="Y28" s="7"/>
      <c r="Z28" s="7"/>
      <c r="AA28" s="7"/>
      <c r="AB28" s="7"/>
      <c r="AC28" s="7"/>
      <c r="AD28" s="7"/>
      <c r="AE28" s="7"/>
      <c r="AF28" s="7"/>
      <c r="AG28" t="s">
        <v>553</v>
      </c>
      <c r="AH28" s="7"/>
      <c r="AI28" s="7"/>
      <c r="AJ28" s="7"/>
      <c r="AK28" s="7"/>
      <c r="AV28" t="s">
        <v>334</v>
      </c>
      <c r="AW28" t="s">
        <v>200</v>
      </c>
      <c r="AX28" t="s">
        <v>35</v>
      </c>
      <c r="BA28" t="s">
        <v>200</v>
      </c>
      <c r="BB28" t="s">
        <v>35</v>
      </c>
      <c r="BE28" t="s">
        <v>200</v>
      </c>
      <c r="BF28" t="s">
        <v>35</v>
      </c>
      <c r="BI28" t="s">
        <v>200</v>
      </c>
      <c r="BJ28" t="s">
        <v>35</v>
      </c>
      <c r="BM28" t="s">
        <v>200</v>
      </c>
      <c r="BN28" t="s">
        <v>35</v>
      </c>
    </row>
    <row r="29" spans="1:6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8"/>
      <c r="X29" s="8"/>
      <c r="Y29" s="7"/>
      <c r="Z29" s="7"/>
      <c r="AA29" s="7"/>
      <c r="AB29" s="7"/>
      <c r="AC29" s="7"/>
      <c r="AD29" s="7"/>
      <c r="AE29" s="7"/>
      <c r="AF29" s="7"/>
      <c r="AG29" s="8" t="s">
        <v>95</v>
      </c>
      <c r="AH29" s="7"/>
      <c r="AI29" s="7"/>
      <c r="AJ29" s="7"/>
      <c r="AK29" s="7"/>
      <c r="AV29" t="s">
        <v>335</v>
      </c>
      <c r="AW29" t="s">
        <v>201</v>
      </c>
      <c r="AX29" t="s">
        <v>36</v>
      </c>
      <c r="BA29" t="s">
        <v>201</v>
      </c>
      <c r="BB29" t="s">
        <v>35</v>
      </c>
      <c r="BE29" t="s">
        <v>201</v>
      </c>
      <c r="BF29" t="s">
        <v>36</v>
      </c>
      <c r="BI29" t="s">
        <v>201</v>
      </c>
      <c r="BJ29" t="s">
        <v>36</v>
      </c>
      <c r="BM29" t="s">
        <v>201</v>
      </c>
      <c r="BN29" t="s">
        <v>36</v>
      </c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8"/>
      <c r="X30" s="8"/>
      <c r="Y30" s="7"/>
      <c r="Z30" s="7"/>
      <c r="AA30" s="7"/>
      <c r="AB30" s="7"/>
      <c r="AC30" s="7"/>
      <c r="AD30" s="7"/>
      <c r="AE30" s="7"/>
      <c r="AF30" s="7"/>
      <c r="AG30" t="s">
        <v>777</v>
      </c>
      <c r="AH30" s="7"/>
      <c r="AI30" s="7"/>
      <c r="AJ30" s="7"/>
      <c r="AK30" s="7"/>
      <c r="AV30" t="s">
        <v>336</v>
      </c>
      <c r="AW30" t="s">
        <v>202</v>
      </c>
      <c r="AX30" t="s">
        <v>35</v>
      </c>
      <c r="BA30" t="s">
        <v>202</v>
      </c>
      <c r="BB30" t="s">
        <v>35</v>
      </c>
      <c r="BE30" t="s">
        <v>202</v>
      </c>
      <c r="BF30" t="s">
        <v>35</v>
      </c>
      <c r="BI30" t="s">
        <v>202</v>
      </c>
      <c r="BJ30" t="s">
        <v>35</v>
      </c>
      <c r="BM30" t="s">
        <v>202</v>
      </c>
      <c r="BN30" t="s">
        <v>35</v>
      </c>
    </row>
    <row r="31" spans="1:6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8"/>
      <c r="X31" s="8"/>
      <c r="Y31" s="7"/>
      <c r="Z31" s="7"/>
      <c r="AA31" s="7"/>
      <c r="AB31" s="7"/>
      <c r="AC31" s="7"/>
      <c r="AD31" s="7"/>
      <c r="AE31" s="7"/>
      <c r="AF31" s="7"/>
      <c r="AG31" s="8" t="s">
        <v>96</v>
      </c>
      <c r="AH31" s="7"/>
      <c r="AI31" s="7"/>
      <c r="AJ31" s="7"/>
      <c r="AK31" s="7" t="s">
        <v>1099</v>
      </c>
      <c r="AV31" t="s">
        <v>337</v>
      </c>
      <c r="AW31" t="s">
        <v>203</v>
      </c>
      <c r="AX31" t="s">
        <v>35</v>
      </c>
      <c r="BA31" t="s">
        <v>203</v>
      </c>
      <c r="BB31" t="s">
        <v>35</v>
      </c>
      <c r="BE31" t="s">
        <v>203</v>
      </c>
      <c r="BF31" t="s">
        <v>35</v>
      </c>
      <c r="BI31" t="s">
        <v>203</v>
      </c>
      <c r="BJ31" t="s">
        <v>35</v>
      </c>
      <c r="BM31" t="s">
        <v>203</v>
      </c>
      <c r="BN31" t="s">
        <v>35</v>
      </c>
    </row>
    <row r="32" spans="1:6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8" t="s">
        <v>97</v>
      </c>
      <c r="AH32" s="7"/>
      <c r="AI32" s="7"/>
      <c r="AJ32" s="7"/>
      <c r="AK32" s="7"/>
      <c r="AV32" t="s">
        <v>338</v>
      </c>
      <c r="AW32" t="s">
        <v>204</v>
      </c>
      <c r="AX32" t="s">
        <v>35</v>
      </c>
      <c r="BA32" t="s">
        <v>204</v>
      </c>
      <c r="BB32" t="s">
        <v>35</v>
      </c>
      <c r="BE32" t="s">
        <v>204</v>
      </c>
      <c r="BF32" t="s">
        <v>35</v>
      </c>
      <c r="BI32" t="s">
        <v>204</v>
      </c>
      <c r="BJ32" t="s">
        <v>36</v>
      </c>
      <c r="BM32" t="s">
        <v>204</v>
      </c>
      <c r="BN32" t="s">
        <v>35</v>
      </c>
    </row>
    <row r="33" spans="1:6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8" t="s">
        <v>98</v>
      </c>
      <c r="AH33" s="7"/>
      <c r="AI33" s="7"/>
      <c r="AJ33" s="7"/>
      <c r="AK33" s="7"/>
      <c r="AV33" t="s">
        <v>339</v>
      </c>
      <c r="AW33" t="s">
        <v>139</v>
      </c>
      <c r="AX33" t="s">
        <v>35</v>
      </c>
      <c r="BA33" t="s">
        <v>139</v>
      </c>
      <c r="BB33" t="s">
        <v>35</v>
      </c>
      <c r="BE33" t="s">
        <v>139</v>
      </c>
      <c r="BF33" t="s">
        <v>35</v>
      </c>
      <c r="BI33" t="s">
        <v>139</v>
      </c>
      <c r="BJ33" t="s">
        <v>36</v>
      </c>
      <c r="BM33" t="s">
        <v>139</v>
      </c>
      <c r="BN33" t="s">
        <v>35</v>
      </c>
    </row>
    <row r="34" spans="1:6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t="s">
        <v>536</v>
      </c>
      <c r="AH34" s="7"/>
      <c r="AI34" s="7"/>
      <c r="AJ34" s="7"/>
      <c r="AK34" s="7"/>
      <c r="AV34" t="s">
        <v>340</v>
      </c>
      <c r="AW34" t="s">
        <v>205</v>
      </c>
      <c r="AX34" t="s">
        <v>35</v>
      </c>
      <c r="BA34" t="s">
        <v>205</v>
      </c>
      <c r="BB34" t="s">
        <v>35</v>
      </c>
      <c r="BE34" t="s">
        <v>205</v>
      </c>
      <c r="BF34" t="s">
        <v>35</v>
      </c>
      <c r="BI34" t="s">
        <v>205</v>
      </c>
      <c r="BJ34" t="s">
        <v>36</v>
      </c>
      <c r="BM34" t="s">
        <v>205</v>
      </c>
      <c r="BN34" t="s">
        <v>35</v>
      </c>
    </row>
    <row r="35" spans="1:6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t="s">
        <v>501</v>
      </c>
      <c r="AH35" s="7"/>
      <c r="AI35" s="7"/>
      <c r="AJ35" s="7"/>
      <c r="AK35" s="7"/>
      <c r="AV35" t="s">
        <v>341</v>
      </c>
      <c r="AW35" t="s">
        <v>206</v>
      </c>
      <c r="AX35" t="s">
        <v>35</v>
      </c>
      <c r="BA35" t="s">
        <v>206</v>
      </c>
      <c r="BB35" t="s">
        <v>35</v>
      </c>
      <c r="BE35" t="s">
        <v>206</v>
      </c>
      <c r="BF35" t="s">
        <v>36</v>
      </c>
      <c r="BI35" t="s">
        <v>206</v>
      </c>
      <c r="BJ35" t="s">
        <v>36</v>
      </c>
      <c r="BM35" t="s">
        <v>206</v>
      </c>
      <c r="BN35" t="s">
        <v>36</v>
      </c>
    </row>
    <row r="36" spans="1:6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t="s">
        <v>802</v>
      </c>
      <c r="AH36" s="7"/>
      <c r="AI36" s="7"/>
      <c r="AJ36" s="7"/>
      <c r="AK36" s="7"/>
      <c r="AV36" t="s">
        <v>342</v>
      </c>
      <c r="AW36" t="s">
        <v>48</v>
      </c>
      <c r="AX36" t="s">
        <v>35</v>
      </c>
      <c r="BA36" t="s">
        <v>48</v>
      </c>
      <c r="BB36" t="s">
        <v>35</v>
      </c>
      <c r="BE36" t="s">
        <v>48</v>
      </c>
      <c r="BF36" t="s">
        <v>35</v>
      </c>
      <c r="BI36" t="s">
        <v>48</v>
      </c>
      <c r="BJ36" t="s">
        <v>35</v>
      </c>
      <c r="BM36" t="s">
        <v>48</v>
      </c>
      <c r="BN36" t="s">
        <v>35</v>
      </c>
    </row>
    <row r="37" spans="1:6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8" t="s">
        <v>99</v>
      </c>
      <c r="AH37" s="7"/>
      <c r="AI37" s="7"/>
      <c r="AJ37" s="7"/>
      <c r="AK37" s="7"/>
      <c r="AV37" t="s">
        <v>343</v>
      </c>
      <c r="AW37" t="s">
        <v>207</v>
      </c>
      <c r="AX37" t="s">
        <v>35</v>
      </c>
      <c r="BA37" t="s">
        <v>207</v>
      </c>
      <c r="BB37" t="s">
        <v>35</v>
      </c>
      <c r="BE37" t="s">
        <v>207</v>
      </c>
      <c r="BF37" t="s">
        <v>35</v>
      </c>
      <c r="BI37" t="s">
        <v>207</v>
      </c>
      <c r="BJ37" t="s">
        <v>35</v>
      </c>
      <c r="BM37" t="s">
        <v>207</v>
      </c>
      <c r="BN37" t="s">
        <v>35</v>
      </c>
    </row>
    <row r="38" spans="1:6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t="s">
        <v>627</v>
      </c>
      <c r="AH38" s="7"/>
      <c r="AI38" s="7"/>
      <c r="AJ38" s="7"/>
      <c r="AK38" s="7"/>
      <c r="AV38" t="s">
        <v>344</v>
      </c>
      <c r="AW38" t="s">
        <v>32</v>
      </c>
      <c r="AX38" t="s">
        <v>35</v>
      </c>
      <c r="BA38" t="s">
        <v>32</v>
      </c>
      <c r="BB38" t="s">
        <v>35</v>
      </c>
      <c r="BE38" t="s">
        <v>32</v>
      </c>
      <c r="BF38" t="s">
        <v>35</v>
      </c>
      <c r="BI38" t="s">
        <v>32</v>
      </c>
      <c r="BJ38" t="s">
        <v>35</v>
      </c>
      <c r="BM38" t="s">
        <v>32</v>
      </c>
      <c r="BN38" t="s">
        <v>36</v>
      </c>
    </row>
    <row r="39" spans="1:6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t="s">
        <v>529</v>
      </c>
      <c r="AH39" s="7"/>
      <c r="AI39" s="7"/>
      <c r="AJ39" s="7"/>
      <c r="AK39" s="7"/>
      <c r="AV39" t="s">
        <v>345</v>
      </c>
      <c r="AW39" t="s">
        <v>220</v>
      </c>
      <c r="AX39" t="s">
        <v>35</v>
      </c>
      <c r="BA39" t="s">
        <v>220</v>
      </c>
      <c r="BB39" t="s">
        <v>35</v>
      </c>
      <c r="BE39" t="s">
        <v>220</v>
      </c>
      <c r="BF39" t="s">
        <v>35</v>
      </c>
      <c r="BI39" t="s">
        <v>220</v>
      </c>
      <c r="BJ39" t="s">
        <v>35</v>
      </c>
      <c r="BM39" t="s">
        <v>220</v>
      </c>
      <c r="BN39" t="s">
        <v>36</v>
      </c>
    </row>
    <row r="40" spans="1:6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8" t="s">
        <v>100</v>
      </c>
      <c r="AH40" s="7"/>
      <c r="AI40" s="7"/>
      <c r="AJ40" s="7"/>
      <c r="AK40" s="7"/>
      <c r="AV40" t="s">
        <v>346</v>
      </c>
      <c r="AW40" t="s">
        <v>221</v>
      </c>
      <c r="AX40" t="s">
        <v>35</v>
      </c>
      <c r="BA40" t="s">
        <v>221</v>
      </c>
      <c r="BB40" t="s">
        <v>35</v>
      </c>
      <c r="BE40" t="s">
        <v>221</v>
      </c>
      <c r="BF40" t="s">
        <v>35</v>
      </c>
      <c r="BI40" t="s">
        <v>221</v>
      </c>
      <c r="BJ40" t="s">
        <v>35</v>
      </c>
      <c r="BM40" t="s">
        <v>221</v>
      </c>
      <c r="BN40" t="s">
        <v>36</v>
      </c>
    </row>
    <row r="41" spans="1:6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t="s">
        <v>796</v>
      </c>
      <c r="AH41" s="7"/>
      <c r="AI41" s="7"/>
      <c r="AJ41" s="7"/>
      <c r="AV41" t="s">
        <v>347</v>
      </c>
      <c r="AW41" t="s">
        <v>222</v>
      </c>
      <c r="AX41" t="s">
        <v>35</v>
      </c>
      <c r="BA41" t="s">
        <v>222</v>
      </c>
      <c r="BB41" t="s">
        <v>35</v>
      </c>
      <c r="BE41" t="s">
        <v>222</v>
      </c>
      <c r="BF41" t="s">
        <v>35</v>
      </c>
      <c r="BI41" t="s">
        <v>222</v>
      </c>
      <c r="BJ41" t="s">
        <v>35</v>
      </c>
      <c r="BM41" t="s">
        <v>222</v>
      </c>
      <c r="BN41" t="s">
        <v>36</v>
      </c>
    </row>
    <row r="42" spans="1:66" x14ac:dyDescent="0.25"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t="s">
        <v>447</v>
      </c>
      <c r="AH42" s="7"/>
      <c r="AI42" s="7"/>
      <c r="AJ42" s="7"/>
      <c r="AV42" t="s">
        <v>348</v>
      </c>
      <c r="AW42" t="s">
        <v>223</v>
      </c>
      <c r="AX42" t="s">
        <v>35</v>
      </c>
      <c r="BA42" t="s">
        <v>223</v>
      </c>
      <c r="BB42" t="s">
        <v>35</v>
      </c>
      <c r="BE42" t="s">
        <v>223</v>
      </c>
      <c r="BF42" t="s">
        <v>35</v>
      </c>
      <c r="BI42" t="s">
        <v>223</v>
      </c>
      <c r="BJ42" t="s">
        <v>35</v>
      </c>
      <c r="BM42" t="s">
        <v>223</v>
      </c>
      <c r="BN42" t="s">
        <v>36</v>
      </c>
    </row>
    <row r="43" spans="1:66" x14ac:dyDescent="0.25"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8" t="s">
        <v>101</v>
      </c>
      <c r="AH43" s="7"/>
      <c r="AI43" s="7"/>
      <c r="AJ43" s="7"/>
      <c r="AV43" t="s">
        <v>140</v>
      </c>
      <c r="AW43" t="s">
        <v>224</v>
      </c>
      <c r="AX43" t="s">
        <v>35</v>
      </c>
      <c r="BA43" t="s">
        <v>224</v>
      </c>
      <c r="BB43" t="s">
        <v>35</v>
      </c>
      <c r="BE43" t="s">
        <v>224</v>
      </c>
      <c r="BF43" t="s">
        <v>35</v>
      </c>
      <c r="BI43" t="s">
        <v>224</v>
      </c>
      <c r="BJ43" t="s">
        <v>35</v>
      </c>
      <c r="BM43" t="s">
        <v>224</v>
      </c>
      <c r="BN43" t="s">
        <v>36</v>
      </c>
    </row>
    <row r="44" spans="1:66" x14ac:dyDescent="0.25"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t="s">
        <v>305</v>
      </c>
      <c r="AH44" s="7"/>
      <c r="AI44" s="7"/>
      <c r="AJ44" s="7"/>
      <c r="AV44" t="s">
        <v>349</v>
      </c>
      <c r="AW44" t="s">
        <v>225</v>
      </c>
      <c r="AX44" t="s">
        <v>35</v>
      </c>
      <c r="BA44" t="s">
        <v>225</v>
      </c>
      <c r="BB44" t="s">
        <v>35</v>
      </c>
      <c r="BE44" t="s">
        <v>225</v>
      </c>
      <c r="BF44" t="s">
        <v>35</v>
      </c>
      <c r="BI44" t="s">
        <v>225</v>
      </c>
      <c r="BJ44" t="s">
        <v>35</v>
      </c>
      <c r="BM44" t="s">
        <v>225</v>
      </c>
      <c r="BN44" t="s">
        <v>36</v>
      </c>
    </row>
    <row r="45" spans="1:66" x14ac:dyDescent="0.25"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8" t="s">
        <v>102</v>
      </c>
      <c r="AH45" s="7"/>
      <c r="AI45" s="7"/>
      <c r="AJ45" s="7"/>
      <c r="AV45" t="s">
        <v>350</v>
      </c>
      <c r="AW45" t="s">
        <v>226</v>
      </c>
      <c r="AX45" t="s">
        <v>35</v>
      </c>
      <c r="BA45" t="s">
        <v>226</v>
      </c>
      <c r="BB45" t="s">
        <v>35</v>
      </c>
      <c r="BE45" t="s">
        <v>226</v>
      </c>
      <c r="BF45" t="s">
        <v>35</v>
      </c>
      <c r="BI45" t="s">
        <v>226</v>
      </c>
      <c r="BJ45" t="s">
        <v>35</v>
      </c>
      <c r="BM45" t="s">
        <v>226</v>
      </c>
      <c r="BN45" t="s">
        <v>36</v>
      </c>
    </row>
    <row r="46" spans="1:66" x14ac:dyDescent="0.25"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8" t="s">
        <v>103</v>
      </c>
      <c r="AH46" s="7"/>
      <c r="AI46" s="7"/>
      <c r="AJ46" s="7"/>
      <c r="AV46" t="s">
        <v>351</v>
      </c>
      <c r="AW46" t="s">
        <v>227</v>
      </c>
      <c r="AX46" t="s">
        <v>35</v>
      </c>
      <c r="BA46" t="s">
        <v>227</v>
      </c>
      <c r="BB46" t="s">
        <v>35</v>
      </c>
      <c r="BE46" t="s">
        <v>227</v>
      </c>
      <c r="BF46" t="s">
        <v>35</v>
      </c>
      <c r="BI46" t="s">
        <v>227</v>
      </c>
      <c r="BJ46" t="s">
        <v>35</v>
      </c>
      <c r="BM46" t="s">
        <v>227</v>
      </c>
      <c r="BN46" t="s">
        <v>36</v>
      </c>
    </row>
    <row r="47" spans="1:66" x14ac:dyDescent="0.25"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t="s">
        <v>510</v>
      </c>
      <c r="AH47" s="7"/>
      <c r="AI47" s="7"/>
      <c r="AJ47" s="7"/>
      <c r="AV47" t="s">
        <v>352</v>
      </c>
      <c r="AW47" t="s">
        <v>228</v>
      </c>
      <c r="AX47" t="s">
        <v>35</v>
      </c>
      <c r="BA47" t="s">
        <v>228</v>
      </c>
      <c r="BB47" t="s">
        <v>35</v>
      </c>
      <c r="BE47" t="s">
        <v>228</v>
      </c>
      <c r="BF47" t="s">
        <v>35</v>
      </c>
      <c r="BI47" t="s">
        <v>228</v>
      </c>
      <c r="BJ47" t="s">
        <v>35</v>
      </c>
      <c r="BM47" t="s">
        <v>228</v>
      </c>
      <c r="BN47" t="s">
        <v>36</v>
      </c>
    </row>
    <row r="48" spans="1:66" x14ac:dyDescent="0.25">
      <c r="U48" s="7"/>
      <c r="Y48" s="7"/>
      <c r="AC48" s="7"/>
      <c r="AE48" s="7"/>
      <c r="AG48" t="s">
        <v>505</v>
      </c>
      <c r="AV48" t="s">
        <v>353</v>
      </c>
      <c r="AW48" t="s">
        <v>229</v>
      </c>
      <c r="AX48" t="s">
        <v>35</v>
      </c>
      <c r="BA48" t="s">
        <v>229</v>
      </c>
      <c r="BB48" t="s">
        <v>35</v>
      </c>
      <c r="BE48" t="s">
        <v>229</v>
      </c>
      <c r="BF48" t="s">
        <v>35</v>
      </c>
      <c r="BI48" t="s">
        <v>229</v>
      </c>
      <c r="BJ48" t="s">
        <v>35</v>
      </c>
      <c r="BM48" t="s">
        <v>229</v>
      </c>
      <c r="BN48" t="s">
        <v>36</v>
      </c>
    </row>
    <row r="49" spans="25:66" x14ac:dyDescent="0.25">
      <c r="Y49" s="7"/>
      <c r="AG49" t="s">
        <v>255</v>
      </c>
      <c r="AV49" t="s">
        <v>354</v>
      </c>
      <c r="AW49" t="s">
        <v>230</v>
      </c>
      <c r="AX49" t="s">
        <v>35</v>
      </c>
      <c r="BA49" t="s">
        <v>230</v>
      </c>
      <c r="BB49" t="s">
        <v>35</v>
      </c>
      <c r="BE49" t="s">
        <v>230</v>
      </c>
      <c r="BF49" t="s">
        <v>35</v>
      </c>
      <c r="BI49" t="s">
        <v>230</v>
      </c>
      <c r="BJ49" t="s">
        <v>35</v>
      </c>
      <c r="BM49" t="s">
        <v>230</v>
      </c>
      <c r="BN49" t="s">
        <v>36</v>
      </c>
    </row>
    <row r="50" spans="25:66" x14ac:dyDescent="0.25">
      <c r="AG50" s="8" t="s">
        <v>104</v>
      </c>
      <c r="AV50" t="s">
        <v>355</v>
      </c>
      <c r="AW50" t="s">
        <v>231</v>
      </c>
      <c r="AX50" t="s">
        <v>35</v>
      </c>
      <c r="BA50" t="s">
        <v>231</v>
      </c>
      <c r="BB50" t="s">
        <v>35</v>
      </c>
      <c r="BE50" t="s">
        <v>231</v>
      </c>
      <c r="BF50" t="s">
        <v>35</v>
      </c>
      <c r="BI50" t="s">
        <v>231</v>
      </c>
      <c r="BJ50" t="s">
        <v>35</v>
      </c>
      <c r="BM50" t="s">
        <v>231</v>
      </c>
      <c r="BN50" t="s">
        <v>36</v>
      </c>
    </row>
    <row r="51" spans="25:66" x14ac:dyDescent="0.25">
      <c r="AG51" t="s">
        <v>465</v>
      </c>
      <c r="AV51" t="s">
        <v>356</v>
      </c>
      <c r="AW51" t="s">
        <v>232</v>
      </c>
      <c r="AX51" t="s">
        <v>35</v>
      </c>
      <c r="BA51" t="s">
        <v>232</v>
      </c>
      <c r="BB51" t="s">
        <v>35</v>
      </c>
      <c r="BE51" t="s">
        <v>232</v>
      </c>
      <c r="BF51" t="s">
        <v>36</v>
      </c>
      <c r="BI51" t="s">
        <v>232</v>
      </c>
      <c r="BJ51" t="s">
        <v>35</v>
      </c>
      <c r="BM51" t="s">
        <v>232</v>
      </c>
      <c r="BN51" t="s">
        <v>36</v>
      </c>
    </row>
    <row r="52" spans="25:66" x14ac:dyDescent="0.25">
      <c r="AG52" t="s">
        <v>463</v>
      </c>
      <c r="AV52" t="s">
        <v>357</v>
      </c>
      <c r="AW52" t="s">
        <v>233</v>
      </c>
      <c r="AX52" t="s">
        <v>35</v>
      </c>
      <c r="BA52" t="s">
        <v>233</v>
      </c>
      <c r="BB52" t="s">
        <v>35</v>
      </c>
      <c r="BE52" t="s">
        <v>233</v>
      </c>
      <c r="BF52" t="s">
        <v>36</v>
      </c>
      <c r="BI52" t="s">
        <v>233</v>
      </c>
      <c r="BJ52" t="s">
        <v>35</v>
      </c>
      <c r="BM52" t="s">
        <v>233</v>
      </c>
      <c r="BN52" t="s">
        <v>36</v>
      </c>
    </row>
    <row r="53" spans="25:66" x14ac:dyDescent="0.25">
      <c r="AG53" s="8" t="s">
        <v>105</v>
      </c>
      <c r="AV53" t="s">
        <v>358</v>
      </c>
      <c r="AW53" t="s">
        <v>234</v>
      </c>
      <c r="AX53" t="s">
        <v>35</v>
      </c>
      <c r="BA53" t="s">
        <v>234</v>
      </c>
      <c r="BB53" t="s">
        <v>35</v>
      </c>
      <c r="BE53" t="s">
        <v>234</v>
      </c>
      <c r="BF53" t="s">
        <v>36</v>
      </c>
      <c r="BI53" t="s">
        <v>234</v>
      </c>
      <c r="BJ53" t="s">
        <v>35</v>
      </c>
      <c r="BM53" t="s">
        <v>234</v>
      </c>
      <c r="BN53" t="s">
        <v>36</v>
      </c>
    </row>
    <row r="54" spans="25:66" x14ac:dyDescent="0.25">
      <c r="AG54" t="s">
        <v>414</v>
      </c>
      <c r="AV54" t="s">
        <v>359</v>
      </c>
      <c r="AW54" t="s">
        <v>235</v>
      </c>
      <c r="AX54" t="s">
        <v>35</v>
      </c>
      <c r="BA54" t="s">
        <v>235</v>
      </c>
      <c r="BB54" t="s">
        <v>35</v>
      </c>
      <c r="BE54" t="s">
        <v>235</v>
      </c>
      <c r="BF54" t="s">
        <v>36</v>
      </c>
      <c r="BI54" t="s">
        <v>235</v>
      </c>
      <c r="BJ54" t="s">
        <v>35</v>
      </c>
      <c r="BM54" t="s">
        <v>235</v>
      </c>
      <c r="BN54" t="s">
        <v>36</v>
      </c>
    </row>
    <row r="55" spans="25:66" x14ac:dyDescent="0.25">
      <c r="AG55" s="8" t="s">
        <v>106</v>
      </c>
      <c r="AV55" t="s">
        <v>163</v>
      </c>
      <c r="AW55" t="s">
        <v>236</v>
      </c>
      <c r="AX55" t="s">
        <v>36</v>
      </c>
      <c r="BA55" t="s">
        <v>236</v>
      </c>
      <c r="BB55" t="s">
        <v>35</v>
      </c>
      <c r="BE55" t="s">
        <v>236</v>
      </c>
      <c r="BF55" t="s">
        <v>36</v>
      </c>
      <c r="BI55" t="s">
        <v>236</v>
      </c>
      <c r="BJ55" t="s">
        <v>35</v>
      </c>
      <c r="BM55" t="s">
        <v>236</v>
      </c>
      <c r="BN55" t="s">
        <v>36</v>
      </c>
    </row>
    <row r="56" spans="25:66" x14ac:dyDescent="0.25">
      <c r="AG56" s="8" t="s">
        <v>107</v>
      </c>
      <c r="AV56" t="s">
        <v>360</v>
      </c>
      <c r="AW56" t="s">
        <v>237</v>
      </c>
      <c r="AX56" t="s">
        <v>36</v>
      </c>
      <c r="BA56" t="s">
        <v>237</v>
      </c>
      <c r="BB56" t="s">
        <v>35</v>
      </c>
      <c r="BE56" t="s">
        <v>237</v>
      </c>
      <c r="BF56" t="s">
        <v>36</v>
      </c>
      <c r="BI56" t="s">
        <v>237</v>
      </c>
      <c r="BJ56" t="s">
        <v>35</v>
      </c>
      <c r="BM56" t="s">
        <v>237</v>
      </c>
      <c r="BN56" t="s">
        <v>36</v>
      </c>
    </row>
    <row r="57" spans="25:66" x14ac:dyDescent="0.25">
      <c r="AG57" s="8" t="s">
        <v>108</v>
      </c>
      <c r="AV57" t="s">
        <v>361</v>
      </c>
      <c r="AW57" t="s">
        <v>238</v>
      </c>
      <c r="AX57" t="s">
        <v>36</v>
      </c>
      <c r="BA57" t="s">
        <v>238</v>
      </c>
      <c r="BB57" t="s">
        <v>35</v>
      </c>
      <c r="BE57" t="s">
        <v>238</v>
      </c>
      <c r="BF57" t="s">
        <v>36</v>
      </c>
      <c r="BI57" t="s">
        <v>238</v>
      </c>
      <c r="BJ57" t="s">
        <v>35</v>
      </c>
      <c r="BM57" t="s">
        <v>238</v>
      </c>
      <c r="BN57" t="s">
        <v>36</v>
      </c>
    </row>
    <row r="58" spans="25:66" x14ac:dyDescent="0.25">
      <c r="AG58" s="8" t="s">
        <v>260</v>
      </c>
      <c r="AV58" t="s">
        <v>362</v>
      </c>
      <c r="AW58" t="s">
        <v>239</v>
      </c>
      <c r="AX58" t="s">
        <v>36</v>
      </c>
      <c r="BA58" t="s">
        <v>239</v>
      </c>
      <c r="BB58" t="s">
        <v>35</v>
      </c>
      <c r="BE58" t="s">
        <v>239</v>
      </c>
      <c r="BF58" t="s">
        <v>36</v>
      </c>
      <c r="BI58" t="s">
        <v>239</v>
      </c>
      <c r="BJ58" t="s">
        <v>35</v>
      </c>
      <c r="BM58" t="s">
        <v>239</v>
      </c>
      <c r="BN58" t="s">
        <v>36</v>
      </c>
    </row>
    <row r="59" spans="25:66" x14ac:dyDescent="0.25">
      <c r="AG59" s="8" t="s">
        <v>109</v>
      </c>
      <c r="AV59" t="s">
        <v>363</v>
      </c>
      <c r="AW59" t="s">
        <v>240</v>
      </c>
      <c r="AX59" t="s">
        <v>36</v>
      </c>
      <c r="BA59" t="s">
        <v>240</v>
      </c>
      <c r="BB59" t="s">
        <v>35</v>
      </c>
      <c r="BE59" t="s">
        <v>240</v>
      </c>
      <c r="BF59" t="s">
        <v>36</v>
      </c>
      <c r="BI59" t="s">
        <v>240</v>
      </c>
      <c r="BJ59" t="s">
        <v>35</v>
      </c>
      <c r="BM59" t="s">
        <v>240</v>
      </c>
      <c r="BN59" t="s">
        <v>36</v>
      </c>
    </row>
    <row r="60" spans="25:66" x14ac:dyDescent="0.25">
      <c r="AG60" s="8" t="s">
        <v>110</v>
      </c>
      <c r="AV60" t="s">
        <v>364</v>
      </c>
      <c r="AW60" t="s">
        <v>241</v>
      </c>
      <c r="AX60" t="s">
        <v>36</v>
      </c>
      <c r="BA60" t="s">
        <v>241</v>
      </c>
      <c r="BB60" t="s">
        <v>35</v>
      </c>
      <c r="BE60" t="s">
        <v>241</v>
      </c>
      <c r="BF60" t="s">
        <v>36</v>
      </c>
      <c r="BI60" t="s">
        <v>241</v>
      </c>
      <c r="BJ60" t="s">
        <v>35</v>
      </c>
      <c r="BM60" t="s">
        <v>241</v>
      </c>
      <c r="BN60" t="s">
        <v>36</v>
      </c>
    </row>
    <row r="61" spans="25:66" x14ac:dyDescent="0.25">
      <c r="AG61" s="8" t="s">
        <v>261</v>
      </c>
      <c r="AV61" t="s">
        <v>365</v>
      </c>
      <c r="AW61" t="s">
        <v>242</v>
      </c>
      <c r="AX61" t="s">
        <v>36</v>
      </c>
      <c r="BA61" t="s">
        <v>242</v>
      </c>
      <c r="BB61" t="s">
        <v>35</v>
      </c>
      <c r="BE61" t="s">
        <v>242</v>
      </c>
      <c r="BF61" t="s">
        <v>36</v>
      </c>
      <c r="BI61" t="s">
        <v>242</v>
      </c>
      <c r="BJ61" t="s">
        <v>35</v>
      </c>
      <c r="BM61" t="s">
        <v>242</v>
      </c>
      <c r="BN61" t="s">
        <v>36</v>
      </c>
    </row>
    <row r="62" spans="25:66" x14ac:dyDescent="0.25">
      <c r="AG62" s="8" t="s">
        <v>111</v>
      </c>
      <c r="AV62" t="s">
        <v>366</v>
      </c>
      <c r="AW62" t="s">
        <v>243</v>
      </c>
      <c r="AX62" t="s">
        <v>36</v>
      </c>
      <c r="BA62" t="s">
        <v>243</v>
      </c>
      <c r="BB62" t="s">
        <v>35</v>
      </c>
      <c r="BE62" t="s">
        <v>243</v>
      </c>
      <c r="BF62" t="s">
        <v>36</v>
      </c>
      <c r="BI62" t="s">
        <v>243</v>
      </c>
      <c r="BJ62" t="s">
        <v>35</v>
      </c>
      <c r="BM62" t="s">
        <v>243</v>
      </c>
      <c r="BN62" t="s">
        <v>36</v>
      </c>
    </row>
    <row r="63" spans="25:66" x14ac:dyDescent="0.25">
      <c r="AG63" s="8" t="s">
        <v>112</v>
      </c>
      <c r="AV63" t="s">
        <v>367</v>
      </c>
      <c r="AW63" t="s">
        <v>244</v>
      </c>
      <c r="AX63" t="s">
        <v>36</v>
      </c>
      <c r="BA63" t="s">
        <v>244</v>
      </c>
      <c r="BB63" t="s">
        <v>35</v>
      </c>
      <c r="BE63" t="s">
        <v>244</v>
      </c>
      <c r="BF63" t="s">
        <v>36</v>
      </c>
      <c r="BI63" t="s">
        <v>244</v>
      </c>
      <c r="BJ63" t="s">
        <v>35</v>
      </c>
      <c r="BM63" t="s">
        <v>244</v>
      </c>
      <c r="BN63" t="s">
        <v>36</v>
      </c>
    </row>
    <row r="64" spans="25:66" x14ac:dyDescent="0.25">
      <c r="AG64" t="s">
        <v>421</v>
      </c>
      <c r="AV64" t="s">
        <v>166</v>
      </c>
      <c r="AW64" t="s">
        <v>245</v>
      </c>
      <c r="AX64" t="s">
        <v>36</v>
      </c>
      <c r="BA64" t="s">
        <v>245</v>
      </c>
      <c r="BB64" t="s">
        <v>35</v>
      </c>
      <c r="BE64" t="s">
        <v>245</v>
      </c>
      <c r="BF64" t="s">
        <v>36</v>
      </c>
      <c r="BI64" t="s">
        <v>245</v>
      </c>
      <c r="BJ64" t="s">
        <v>35</v>
      </c>
      <c r="BM64" t="s">
        <v>245</v>
      </c>
      <c r="BN64" t="s">
        <v>36</v>
      </c>
    </row>
    <row r="65" spans="33:66" x14ac:dyDescent="0.25">
      <c r="AG65" t="s">
        <v>868</v>
      </c>
      <c r="AV65" t="s">
        <v>374</v>
      </c>
      <c r="AW65" t="s">
        <v>246</v>
      </c>
      <c r="AX65" t="s">
        <v>36</v>
      </c>
      <c r="BA65" t="s">
        <v>246</v>
      </c>
      <c r="BB65" t="s">
        <v>35</v>
      </c>
      <c r="BE65" t="s">
        <v>246</v>
      </c>
      <c r="BF65" t="s">
        <v>36</v>
      </c>
      <c r="BI65" t="s">
        <v>246</v>
      </c>
      <c r="BJ65" t="s">
        <v>35</v>
      </c>
      <c r="BM65" t="s">
        <v>246</v>
      </c>
      <c r="BN65" t="s">
        <v>36</v>
      </c>
    </row>
    <row r="66" spans="33:66" x14ac:dyDescent="0.25">
      <c r="AG66" s="8" t="s">
        <v>113</v>
      </c>
      <c r="AV66" t="s">
        <v>368</v>
      </c>
      <c r="AW66" t="s">
        <v>247</v>
      </c>
      <c r="AX66" t="s">
        <v>36</v>
      </c>
      <c r="BA66" t="s">
        <v>247</v>
      </c>
      <c r="BB66" t="s">
        <v>35</v>
      </c>
      <c r="BE66" t="s">
        <v>247</v>
      </c>
      <c r="BF66" t="s">
        <v>36</v>
      </c>
      <c r="BI66" t="s">
        <v>247</v>
      </c>
      <c r="BJ66" t="s">
        <v>35</v>
      </c>
      <c r="BM66" t="s">
        <v>247</v>
      </c>
      <c r="BN66" t="s">
        <v>36</v>
      </c>
    </row>
    <row r="67" spans="33:66" x14ac:dyDescent="0.25">
      <c r="AG67" s="8" t="s">
        <v>114</v>
      </c>
      <c r="AV67" t="s">
        <v>369</v>
      </c>
      <c r="AW67" t="s">
        <v>248</v>
      </c>
      <c r="AX67" t="s">
        <v>36</v>
      </c>
      <c r="BA67" t="s">
        <v>248</v>
      </c>
      <c r="BB67" t="s">
        <v>35</v>
      </c>
      <c r="BE67" t="s">
        <v>248</v>
      </c>
      <c r="BF67" t="s">
        <v>36</v>
      </c>
      <c r="BI67" t="s">
        <v>248</v>
      </c>
      <c r="BJ67" t="s">
        <v>35</v>
      </c>
      <c r="BM67" t="s">
        <v>248</v>
      </c>
      <c r="BN67" t="s">
        <v>36</v>
      </c>
    </row>
    <row r="68" spans="33:66" x14ac:dyDescent="0.25">
      <c r="AG68" t="s">
        <v>377</v>
      </c>
      <c r="AV68" t="s">
        <v>370</v>
      </c>
      <c r="AW68" t="s">
        <v>249</v>
      </c>
      <c r="AX68" t="s">
        <v>36</v>
      </c>
      <c r="BA68" t="s">
        <v>249</v>
      </c>
      <c r="BB68" t="s">
        <v>35</v>
      </c>
      <c r="BE68" t="s">
        <v>249</v>
      </c>
      <c r="BF68" t="s">
        <v>36</v>
      </c>
      <c r="BI68" t="s">
        <v>249</v>
      </c>
      <c r="BJ68" t="s">
        <v>35</v>
      </c>
      <c r="BM68" t="s">
        <v>249</v>
      </c>
      <c r="BN68" t="s">
        <v>36</v>
      </c>
    </row>
    <row r="69" spans="33:66" x14ac:dyDescent="0.25">
      <c r="AG69" s="7" t="s">
        <v>280</v>
      </c>
      <c r="AV69" t="s">
        <v>371</v>
      </c>
      <c r="AW69" t="s">
        <v>250</v>
      </c>
      <c r="AX69" t="s">
        <v>36</v>
      </c>
      <c r="BA69" t="s">
        <v>250</v>
      </c>
      <c r="BB69" t="s">
        <v>35</v>
      </c>
      <c r="BE69" t="s">
        <v>250</v>
      </c>
      <c r="BF69" t="s">
        <v>36</v>
      </c>
      <c r="BI69" t="s">
        <v>250</v>
      </c>
      <c r="BJ69" t="s">
        <v>35</v>
      </c>
      <c r="BM69" t="s">
        <v>250</v>
      </c>
      <c r="BN69" t="s">
        <v>36</v>
      </c>
    </row>
    <row r="70" spans="33:66" x14ac:dyDescent="0.25">
      <c r="AG70" s="8" t="s">
        <v>115</v>
      </c>
      <c r="AV70" t="s">
        <v>372</v>
      </c>
      <c r="AW70" t="s">
        <v>251</v>
      </c>
      <c r="AX70" t="s">
        <v>36</v>
      </c>
      <c r="BA70" t="s">
        <v>251</v>
      </c>
      <c r="BB70" t="s">
        <v>35</v>
      </c>
      <c r="BE70" t="s">
        <v>251</v>
      </c>
      <c r="BF70" t="s">
        <v>36</v>
      </c>
      <c r="BI70" t="s">
        <v>251</v>
      </c>
      <c r="BJ70" t="s">
        <v>35</v>
      </c>
      <c r="BM70" t="s">
        <v>251</v>
      </c>
      <c r="BN70" t="s">
        <v>36</v>
      </c>
    </row>
    <row r="71" spans="33:66" x14ac:dyDescent="0.25">
      <c r="AG71" s="8" t="s">
        <v>116</v>
      </c>
    </row>
    <row r="72" spans="33:66" x14ac:dyDescent="0.25">
      <c r="AG72" t="s">
        <v>495</v>
      </c>
    </row>
    <row r="73" spans="33:66" x14ac:dyDescent="0.25">
      <c r="AG73" s="7" t="s">
        <v>279</v>
      </c>
    </row>
    <row r="74" spans="33:66" x14ac:dyDescent="0.25">
      <c r="AG74" t="s">
        <v>252</v>
      </c>
    </row>
    <row r="75" spans="33:66" x14ac:dyDescent="0.25">
      <c r="AG75" t="s">
        <v>391</v>
      </c>
    </row>
    <row r="76" spans="33:66" x14ac:dyDescent="0.25">
      <c r="AG76" s="8" t="s">
        <v>117</v>
      </c>
    </row>
    <row r="77" spans="33:66" x14ac:dyDescent="0.25">
      <c r="AG77" t="s">
        <v>492</v>
      </c>
    </row>
    <row r="78" spans="33:66" x14ac:dyDescent="0.25">
      <c r="AG78" t="s">
        <v>597</v>
      </c>
    </row>
    <row r="79" spans="33:66" x14ac:dyDescent="0.25">
      <c r="AG79" s="8" t="s">
        <v>118</v>
      </c>
    </row>
    <row r="80" spans="33:66" x14ac:dyDescent="0.25">
      <c r="AG80" t="s">
        <v>499</v>
      </c>
    </row>
    <row r="81" spans="33:33" x14ac:dyDescent="0.25">
      <c r="AG81" t="s">
        <v>399</v>
      </c>
    </row>
    <row r="82" spans="33:33" x14ac:dyDescent="0.25">
      <c r="AG82" t="s">
        <v>450</v>
      </c>
    </row>
    <row r="83" spans="33:33" x14ac:dyDescent="0.25">
      <c r="AG83" t="s">
        <v>388</v>
      </c>
    </row>
    <row r="84" spans="33:33" x14ac:dyDescent="0.25">
      <c r="AG84" s="8" t="s">
        <v>119</v>
      </c>
    </row>
    <row r="85" spans="33:33" x14ac:dyDescent="0.25">
      <c r="AG85" s="8" t="s">
        <v>120</v>
      </c>
    </row>
    <row r="86" spans="33:33" x14ac:dyDescent="0.25">
      <c r="AG86" t="s">
        <v>920</v>
      </c>
    </row>
    <row r="87" spans="33:33" x14ac:dyDescent="0.25">
      <c r="AG87" t="s">
        <v>840</v>
      </c>
    </row>
    <row r="88" spans="33:33" x14ac:dyDescent="0.25">
      <c r="AG88" t="s">
        <v>874</v>
      </c>
    </row>
    <row r="89" spans="33:33" x14ac:dyDescent="0.25">
      <c r="AG89" s="8" t="s">
        <v>121</v>
      </c>
    </row>
    <row r="90" spans="33:33" x14ac:dyDescent="0.25">
      <c r="AG90" s="8" t="s">
        <v>122</v>
      </c>
    </row>
    <row r="91" spans="33:33" x14ac:dyDescent="0.25">
      <c r="AG91" t="s">
        <v>1087</v>
      </c>
    </row>
    <row r="92" spans="33:33" x14ac:dyDescent="0.25">
      <c r="AG92" s="8" t="s">
        <v>123</v>
      </c>
    </row>
    <row r="93" spans="33:33" x14ac:dyDescent="0.25">
      <c r="AG93" s="8" t="s">
        <v>124</v>
      </c>
    </row>
    <row r="94" spans="33:33" x14ac:dyDescent="0.25">
      <c r="AG94" s="7" t="s">
        <v>125</v>
      </c>
    </row>
  </sheetData>
  <sortState xmlns:xlrd2="http://schemas.microsoft.com/office/spreadsheetml/2017/richdata2" ref="AG3:AG94">
    <sortCondition ref="AG3"/>
  </sortState>
  <dataValidations count="1">
    <dataValidation type="list" allowBlank="1" showInputMessage="1" showErrorMessage="1" sqref="BJ2:BJ70 AX2:AX70 BB2:BB70 BN2:BN70 BF2:BF70" xr:uid="{B2CFA925-588B-404E-8DBF-305737F7186D}">
      <formula1>$AN$2:$AN$4</formula1>
    </dataValidation>
  </dataValidations>
  <hyperlinks>
    <hyperlink ref="C3" r:id="rId1" xr:uid="{047C1BF4-00C4-422C-9940-3853C2F21C65}"/>
    <hyperlink ref="C4" r:id="rId2" xr:uid="{44F0DE75-61D8-4B3A-833A-E0CD50E92952}"/>
    <hyperlink ref="C5" r:id="rId3" xr:uid="{0735A9EE-2094-492C-859F-C59C39046CA6}"/>
    <hyperlink ref="W7" r:id="rId4" xr:uid="{BDD32D03-B91D-496D-BF9B-21241F416217}"/>
    <hyperlink ref="O3" r:id="rId5" xr:uid="{DB6FAC72-79C0-4847-A544-2F5820CF30EA}"/>
    <hyperlink ref="O4" r:id="rId6" xr:uid="{0FAD39D3-3B46-4E1F-AE8A-5526AE7FAAAD}"/>
    <hyperlink ref="O5" r:id="rId7" xr:uid="{9511E3C6-B46C-4437-93E2-6B0B4D43C2FA}"/>
    <hyperlink ref="S3" r:id="rId8" xr:uid="{4EAC3D24-7DA7-4C89-A00C-7735F7427452}"/>
    <hyperlink ref="S4" r:id="rId9" xr:uid="{9CA46D6D-1311-45EB-B6EA-76238220F24E}"/>
    <hyperlink ref="S5" r:id="rId10" xr:uid="{1FEAF677-E3A6-4AD2-A7F8-A1F6AF98C463}"/>
  </hyperlinks>
  <pageMargins left="0.7" right="0.7" top="0.75" bottom="0.75" header="0.3" footer="0.3"/>
  <pageSetup orientation="portrait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D6AD-816D-4F43-B124-946661993B4C}">
  <sheetPr codeName="Sheet1"/>
  <dimension ref="A1:U34"/>
  <sheetViews>
    <sheetView workbookViewId="0"/>
  </sheetViews>
  <sheetFormatPr defaultColWidth="9.140625" defaultRowHeight="15" x14ac:dyDescent="0.25"/>
  <cols>
    <col min="1" max="1" width="16.140625" style="35" bestFit="1" customWidth="1"/>
    <col min="2" max="2" width="9" style="35" bestFit="1" customWidth="1"/>
    <col min="3" max="4" width="5.7109375" style="35" bestFit="1" customWidth="1"/>
    <col min="5" max="5" width="7.5703125" style="35" bestFit="1" customWidth="1"/>
    <col min="6" max="6" width="7" style="35" bestFit="1" customWidth="1"/>
    <col min="7" max="7" width="24.42578125" style="35" bestFit="1" customWidth="1"/>
    <col min="8" max="8" width="82" style="35" bestFit="1" customWidth="1"/>
    <col min="9" max="9" width="13.5703125" style="35" bestFit="1" customWidth="1"/>
    <col min="10" max="10" width="9.42578125" style="35" bestFit="1" customWidth="1"/>
    <col min="11" max="11" width="10.42578125" style="35" bestFit="1" customWidth="1"/>
    <col min="12" max="13" width="9.42578125" style="35" bestFit="1" customWidth="1"/>
    <col min="14" max="14" width="64.28515625" style="35" bestFit="1" customWidth="1"/>
    <col min="15" max="15" width="9.5703125" style="35" bestFit="1" customWidth="1"/>
    <col min="16" max="16" width="24.7109375" style="35" bestFit="1" customWidth="1"/>
    <col min="17" max="17" width="22.42578125" style="35" bestFit="1" customWidth="1"/>
    <col min="18" max="18" width="64.140625" style="35" bestFit="1" customWidth="1"/>
    <col min="19" max="19" width="9.42578125" style="35" bestFit="1" customWidth="1"/>
    <col min="20" max="20" width="172.140625" style="35" bestFit="1" customWidth="1"/>
    <col min="21" max="21" width="64.140625" style="35" bestFit="1" customWidth="1"/>
    <col min="22" max="16384" width="9.140625" style="35"/>
  </cols>
  <sheetData>
    <row r="1" spans="1:21" s="60" customFormat="1" ht="45" x14ac:dyDescent="0.25">
      <c r="A1" s="34" t="s">
        <v>0</v>
      </c>
      <c r="B1" s="34" t="s">
        <v>214</v>
      </c>
      <c r="C1" s="34" t="s">
        <v>215</v>
      </c>
      <c r="D1" s="34" t="s">
        <v>1</v>
      </c>
      <c r="E1" s="34" t="s">
        <v>2</v>
      </c>
      <c r="F1" s="34" t="s">
        <v>6</v>
      </c>
      <c r="G1" s="34" t="s">
        <v>7</v>
      </c>
      <c r="H1" s="34" t="s">
        <v>8</v>
      </c>
      <c r="I1" s="34" t="s">
        <v>9</v>
      </c>
      <c r="J1" s="34" t="s">
        <v>17</v>
      </c>
      <c r="K1" s="34" t="s">
        <v>21</v>
      </c>
      <c r="L1" s="34" t="s">
        <v>22</v>
      </c>
      <c r="M1" s="34" t="s">
        <v>23</v>
      </c>
      <c r="N1" s="34" t="s">
        <v>27</v>
      </c>
      <c r="O1" s="59" t="s">
        <v>265</v>
      </c>
      <c r="P1" s="34" t="s">
        <v>266</v>
      </c>
      <c r="Q1" s="34" t="s">
        <v>267</v>
      </c>
      <c r="R1" s="34" t="s">
        <v>268</v>
      </c>
      <c r="S1" s="34" t="s">
        <v>269</v>
      </c>
      <c r="T1" s="34" t="s">
        <v>618</v>
      </c>
      <c r="U1" s="34" t="s">
        <v>619</v>
      </c>
    </row>
    <row r="2" spans="1:21" x14ac:dyDescent="0.25">
      <c r="A2" s="61" t="s">
        <v>262</v>
      </c>
      <c r="D2" s="35" t="s">
        <v>140</v>
      </c>
      <c r="E2" s="35" t="s">
        <v>141</v>
      </c>
      <c r="F2" s="35">
        <v>110619</v>
      </c>
      <c r="G2" s="35" t="s">
        <v>261</v>
      </c>
      <c r="H2" s="35" t="s">
        <v>263</v>
      </c>
      <c r="I2" s="35">
        <v>4575090530</v>
      </c>
      <c r="K2" s="62">
        <v>45287</v>
      </c>
      <c r="L2" s="62">
        <v>45421</v>
      </c>
      <c r="M2" s="62">
        <v>45422</v>
      </c>
      <c r="O2" s="35">
        <v>86</v>
      </c>
      <c r="P2" s="35" t="s">
        <v>270</v>
      </c>
      <c r="Q2" s="35">
        <v>92385</v>
      </c>
      <c r="R2" s="35" t="s">
        <v>271</v>
      </c>
      <c r="S2" s="62">
        <v>45421</v>
      </c>
    </row>
    <row r="3" spans="1:21" x14ac:dyDescent="0.25">
      <c r="A3" s="61" t="s">
        <v>259</v>
      </c>
      <c r="D3" s="35" t="s">
        <v>140</v>
      </c>
      <c r="E3" s="35" t="s">
        <v>141</v>
      </c>
      <c r="F3" s="35">
        <v>103287</v>
      </c>
      <c r="G3" s="35" t="s">
        <v>260</v>
      </c>
      <c r="H3" s="35" t="s">
        <v>264</v>
      </c>
      <c r="I3" s="35">
        <v>4573283765</v>
      </c>
      <c r="K3" s="62">
        <v>45247</v>
      </c>
      <c r="L3" s="62">
        <v>45421</v>
      </c>
      <c r="M3" s="62">
        <v>45426</v>
      </c>
      <c r="O3" s="35">
        <v>1241</v>
      </c>
      <c r="P3" s="35" t="s">
        <v>272</v>
      </c>
      <c r="Q3" s="35">
        <v>118895812</v>
      </c>
      <c r="S3" s="62">
        <v>45421</v>
      </c>
    </row>
    <row r="4" spans="1:21" x14ac:dyDescent="0.25">
      <c r="A4" s="61" t="s">
        <v>281</v>
      </c>
      <c r="C4" s="35" t="s">
        <v>36</v>
      </c>
      <c r="D4" s="35" t="s">
        <v>146</v>
      </c>
      <c r="E4" s="35" t="s">
        <v>147</v>
      </c>
      <c r="F4" s="35">
        <v>103032</v>
      </c>
      <c r="G4" s="35" t="s">
        <v>278</v>
      </c>
      <c r="H4" s="35" t="s">
        <v>282</v>
      </c>
      <c r="I4" s="35" t="s">
        <v>67</v>
      </c>
      <c r="K4" s="62">
        <v>45336</v>
      </c>
      <c r="L4" s="62">
        <v>45425</v>
      </c>
      <c r="M4" s="62">
        <v>45428</v>
      </c>
      <c r="N4" s="35" t="s">
        <v>289</v>
      </c>
      <c r="O4" s="35">
        <v>80</v>
      </c>
      <c r="P4" s="35" t="s">
        <v>290</v>
      </c>
      <c r="Q4" s="35">
        <v>93600</v>
      </c>
      <c r="R4" s="35" t="s">
        <v>291</v>
      </c>
      <c r="S4" s="62">
        <v>45425</v>
      </c>
    </row>
    <row r="5" spans="1:21" x14ac:dyDescent="0.25">
      <c r="A5" s="61" t="s">
        <v>283</v>
      </c>
      <c r="C5" s="35" t="s">
        <v>36</v>
      </c>
      <c r="D5" s="35" t="s">
        <v>146</v>
      </c>
      <c r="E5" s="35" t="s">
        <v>147</v>
      </c>
      <c r="F5" s="35">
        <v>103029</v>
      </c>
      <c r="G5" s="35" t="s">
        <v>278</v>
      </c>
      <c r="H5" s="35" t="s">
        <v>284</v>
      </c>
      <c r="I5" s="35" t="s">
        <v>67</v>
      </c>
      <c r="K5" s="62">
        <v>45266</v>
      </c>
      <c r="L5" s="62">
        <v>45425</v>
      </c>
      <c r="M5" s="62">
        <v>45428</v>
      </c>
      <c r="N5" s="35" t="s">
        <v>289</v>
      </c>
      <c r="O5" s="35">
        <v>80</v>
      </c>
      <c r="P5" s="35" t="s">
        <v>292</v>
      </c>
      <c r="Q5" s="35">
        <v>93600</v>
      </c>
      <c r="R5" s="35" t="s">
        <v>291</v>
      </c>
      <c r="S5" s="62">
        <v>45425</v>
      </c>
    </row>
    <row r="6" spans="1:21" x14ac:dyDescent="0.25">
      <c r="A6" s="61" t="s">
        <v>285</v>
      </c>
      <c r="C6" s="35" t="s">
        <v>36</v>
      </c>
      <c r="D6" s="35" t="s">
        <v>146</v>
      </c>
      <c r="E6" s="35" t="s">
        <v>147</v>
      </c>
      <c r="F6" s="35">
        <v>103030</v>
      </c>
      <c r="G6" s="35" t="s">
        <v>278</v>
      </c>
      <c r="H6" s="35" t="s">
        <v>286</v>
      </c>
      <c r="I6" s="35" t="s">
        <v>67</v>
      </c>
      <c r="K6" s="62">
        <v>45308</v>
      </c>
      <c r="L6" s="62">
        <v>45425</v>
      </c>
      <c r="M6" s="62">
        <v>45428</v>
      </c>
      <c r="N6" s="35" t="s">
        <v>289</v>
      </c>
      <c r="O6" s="35">
        <v>80</v>
      </c>
      <c r="P6" s="35" t="s">
        <v>292</v>
      </c>
      <c r="Q6" s="35">
        <v>93600</v>
      </c>
      <c r="R6" s="35" t="s">
        <v>291</v>
      </c>
      <c r="S6" s="62">
        <v>45425</v>
      </c>
    </row>
    <row r="7" spans="1:21" x14ac:dyDescent="0.25">
      <c r="A7" s="61" t="s">
        <v>287</v>
      </c>
      <c r="C7" s="35" t="s">
        <v>36</v>
      </c>
      <c r="D7" s="35" t="s">
        <v>146</v>
      </c>
      <c r="E7" s="35" t="s">
        <v>147</v>
      </c>
      <c r="F7" s="35">
        <v>103031</v>
      </c>
      <c r="G7" s="35" t="s">
        <v>278</v>
      </c>
      <c r="H7" s="35" t="s">
        <v>288</v>
      </c>
      <c r="I7" s="35" t="s">
        <v>67</v>
      </c>
      <c r="K7" s="62">
        <v>45308</v>
      </c>
      <c r="L7" s="62">
        <v>45425</v>
      </c>
      <c r="M7" s="62">
        <v>45428</v>
      </c>
      <c r="N7" s="35" t="s">
        <v>289</v>
      </c>
      <c r="O7" s="35">
        <v>80</v>
      </c>
      <c r="P7" s="35" t="s">
        <v>292</v>
      </c>
      <c r="Q7" s="35">
        <v>93600</v>
      </c>
      <c r="R7" s="35" t="s">
        <v>291</v>
      </c>
      <c r="S7" s="62">
        <v>45425</v>
      </c>
    </row>
    <row r="8" spans="1:21" x14ac:dyDescent="0.25">
      <c r="A8" s="61" t="s">
        <v>294</v>
      </c>
      <c r="C8" s="35" t="s">
        <v>36</v>
      </c>
      <c r="D8" s="35" t="s">
        <v>140</v>
      </c>
      <c r="E8" s="35" t="s">
        <v>141</v>
      </c>
      <c r="F8" s="35">
        <v>104460</v>
      </c>
      <c r="G8" s="35" t="s">
        <v>293</v>
      </c>
      <c r="H8" s="35" t="s">
        <v>295</v>
      </c>
      <c r="I8" s="35">
        <v>4800102033</v>
      </c>
      <c r="J8" s="62">
        <v>45412</v>
      </c>
      <c r="K8" s="62">
        <v>45323</v>
      </c>
      <c r="L8" s="62">
        <v>45426</v>
      </c>
      <c r="M8" s="62">
        <v>45324</v>
      </c>
      <c r="O8" s="35">
        <v>132</v>
      </c>
      <c r="P8" s="35" t="s">
        <v>292</v>
      </c>
      <c r="Q8" s="35">
        <v>94011</v>
      </c>
      <c r="R8" s="35" t="s">
        <v>308</v>
      </c>
      <c r="S8" s="62">
        <v>45426</v>
      </c>
    </row>
    <row r="9" spans="1:21" x14ac:dyDescent="0.25">
      <c r="A9" s="61" t="s">
        <v>303</v>
      </c>
      <c r="C9" s="35" t="s">
        <v>36</v>
      </c>
      <c r="D9" s="35" t="s">
        <v>146</v>
      </c>
      <c r="E9" s="35" t="s">
        <v>147</v>
      </c>
      <c r="F9" s="35">
        <v>110003</v>
      </c>
      <c r="G9" s="35" t="s">
        <v>302</v>
      </c>
      <c r="H9" s="35" t="s">
        <v>304</v>
      </c>
      <c r="I9" s="35" t="s">
        <v>67</v>
      </c>
      <c r="K9" s="62">
        <v>45406</v>
      </c>
      <c r="L9" s="62">
        <v>45427</v>
      </c>
      <c r="M9" s="62">
        <v>45429</v>
      </c>
      <c r="O9" s="35">
        <v>200</v>
      </c>
      <c r="P9" s="35" t="s">
        <v>384</v>
      </c>
      <c r="Q9" s="35" t="s">
        <v>385</v>
      </c>
      <c r="S9" s="62">
        <v>45427</v>
      </c>
    </row>
    <row r="10" spans="1:21" x14ac:dyDescent="0.25">
      <c r="A10" s="61" t="s">
        <v>296</v>
      </c>
      <c r="C10" s="35" t="s">
        <v>36</v>
      </c>
      <c r="D10" s="35" t="s">
        <v>161</v>
      </c>
      <c r="E10" s="35" t="s">
        <v>147</v>
      </c>
      <c r="F10" s="35">
        <v>110862</v>
      </c>
      <c r="G10" s="35" t="s">
        <v>79</v>
      </c>
      <c r="H10" s="35" t="s">
        <v>297</v>
      </c>
      <c r="I10" s="35" t="s">
        <v>298</v>
      </c>
      <c r="K10" s="62">
        <v>45398</v>
      </c>
      <c r="L10" s="62">
        <v>45427</v>
      </c>
      <c r="M10" s="62">
        <v>45401</v>
      </c>
      <c r="N10" s="35" t="s">
        <v>375</v>
      </c>
      <c r="O10" s="35">
        <v>40</v>
      </c>
      <c r="P10" s="35" t="s">
        <v>384</v>
      </c>
      <c r="Q10" s="35" t="s">
        <v>386</v>
      </c>
      <c r="S10" s="62">
        <v>45427</v>
      </c>
    </row>
    <row r="11" spans="1:21" x14ac:dyDescent="0.25">
      <c r="A11" s="61" t="s">
        <v>306</v>
      </c>
      <c r="C11" s="35" t="s">
        <v>36</v>
      </c>
      <c r="D11" s="35" t="s">
        <v>153</v>
      </c>
      <c r="E11" s="35" t="s">
        <v>147</v>
      </c>
      <c r="F11" s="35">
        <v>110459</v>
      </c>
      <c r="G11" s="35" t="s">
        <v>305</v>
      </c>
      <c r="H11" s="35" t="s">
        <v>307</v>
      </c>
      <c r="I11" s="35" t="s">
        <v>67</v>
      </c>
      <c r="K11" s="62">
        <v>45427</v>
      </c>
      <c r="M11" s="62">
        <v>45429</v>
      </c>
      <c r="N11" s="35" t="s">
        <v>376</v>
      </c>
      <c r="O11" s="35">
        <v>96</v>
      </c>
      <c r="P11" s="35" t="s">
        <v>384</v>
      </c>
      <c r="Q11" s="35" t="s">
        <v>387</v>
      </c>
      <c r="S11" s="62">
        <v>45427</v>
      </c>
    </row>
    <row r="12" spans="1:21" x14ac:dyDescent="0.25">
      <c r="A12" s="61" t="s">
        <v>389</v>
      </c>
      <c r="D12" s="35" t="s">
        <v>146</v>
      </c>
      <c r="F12" s="35">
        <v>101240</v>
      </c>
      <c r="G12" s="35" t="s">
        <v>388</v>
      </c>
      <c r="H12" s="35" t="s">
        <v>390</v>
      </c>
      <c r="I12" s="35" t="s">
        <v>67</v>
      </c>
      <c r="K12" s="62">
        <v>45435</v>
      </c>
      <c r="L12" s="62">
        <v>45428</v>
      </c>
      <c r="M12" s="62">
        <v>45432</v>
      </c>
      <c r="O12" s="35">
        <v>80</v>
      </c>
      <c r="P12" s="35" t="s">
        <v>384</v>
      </c>
      <c r="Q12" s="35" t="s">
        <v>394</v>
      </c>
      <c r="S12" s="62">
        <v>45428</v>
      </c>
    </row>
    <row r="13" spans="1:21" x14ac:dyDescent="0.25">
      <c r="A13" s="61" t="s">
        <v>400</v>
      </c>
      <c r="D13" s="35" t="s">
        <v>146</v>
      </c>
      <c r="F13" s="35">
        <v>106604</v>
      </c>
      <c r="G13" s="35" t="s">
        <v>399</v>
      </c>
      <c r="H13" s="35" t="s">
        <v>401</v>
      </c>
      <c r="I13" s="35" t="s">
        <v>67</v>
      </c>
      <c r="K13" s="62">
        <v>45411</v>
      </c>
      <c r="L13" s="62">
        <v>45429</v>
      </c>
      <c r="M13" s="62">
        <v>45432</v>
      </c>
      <c r="O13" s="35">
        <v>287</v>
      </c>
      <c r="P13" s="35" t="s">
        <v>384</v>
      </c>
      <c r="Q13" s="35" t="s">
        <v>467</v>
      </c>
      <c r="S13" s="62">
        <v>45429</v>
      </c>
    </row>
    <row r="14" spans="1:21" x14ac:dyDescent="0.25">
      <c r="A14" s="61" t="s">
        <v>378</v>
      </c>
      <c r="D14" s="35" t="s">
        <v>153</v>
      </c>
      <c r="F14" s="35">
        <v>111101</v>
      </c>
      <c r="G14" s="35" t="s">
        <v>377</v>
      </c>
      <c r="H14" s="35" t="s">
        <v>379</v>
      </c>
      <c r="I14" s="35" t="s">
        <v>67</v>
      </c>
      <c r="K14" s="62">
        <v>45428</v>
      </c>
      <c r="L14" s="62">
        <v>45429</v>
      </c>
      <c r="M14" s="62">
        <v>45432</v>
      </c>
      <c r="N14" s="35" t="s">
        <v>380</v>
      </c>
      <c r="O14" s="35">
        <v>16</v>
      </c>
      <c r="P14" s="35" t="s">
        <v>384</v>
      </c>
      <c r="Q14" s="35" t="s">
        <v>468</v>
      </c>
      <c r="S14" s="62">
        <v>45429</v>
      </c>
    </row>
    <row r="15" spans="1:21" x14ac:dyDescent="0.25">
      <c r="A15" s="61" t="s">
        <v>402</v>
      </c>
      <c r="D15" s="35" t="s">
        <v>140</v>
      </c>
      <c r="F15" s="35">
        <v>107551</v>
      </c>
      <c r="G15" s="35" t="s">
        <v>112</v>
      </c>
      <c r="H15" s="35" t="s">
        <v>403</v>
      </c>
      <c r="I15" s="35">
        <v>4574184808</v>
      </c>
      <c r="K15" s="62">
        <v>45379</v>
      </c>
      <c r="L15" s="62">
        <v>45432</v>
      </c>
      <c r="M15" s="62">
        <v>45434</v>
      </c>
      <c r="O15" s="35">
        <v>88</v>
      </c>
      <c r="P15" s="35" t="s">
        <v>384</v>
      </c>
      <c r="Q15" s="35" t="s">
        <v>466</v>
      </c>
      <c r="S15" s="62">
        <v>45429</v>
      </c>
    </row>
    <row r="16" spans="1:21" x14ac:dyDescent="0.25">
      <c r="A16" s="61" t="s">
        <v>406</v>
      </c>
      <c r="D16" s="35" t="s">
        <v>140</v>
      </c>
      <c r="E16" s="35" t="s">
        <v>141</v>
      </c>
      <c r="F16" s="35">
        <v>110045</v>
      </c>
      <c r="G16" s="35" t="s">
        <v>94</v>
      </c>
      <c r="H16" s="35" t="s">
        <v>407</v>
      </c>
      <c r="I16" s="35">
        <v>420302955</v>
      </c>
      <c r="K16" s="62">
        <v>45418</v>
      </c>
      <c r="L16" s="62">
        <v>45432</v>
      </c>
      <c r="M16" s="62">
        <v>45433</v>
      </c>
      <c r="O16" s="35">
        <v>82</v>
      </c>
      <c r="P16" s="35" t="s">
        <v>292</v>
      </c>
      <c r="Q16" s="35">
        <v>97103</v>
      </c>
      <c r="R16" s="35" t="s">
        <v>595</v>
      </c>
      <c r="S16" s="62">
        <v>45432</v>
      </c>
    </row>
    <row r="17" spans="1:21" x14ac:dyDescent="0.25">
      <c r="A17" s="61" t="s">
        <v>397</v>
      </c>
      <c r="D17" s="35" t="s">
        <v>140</v>
      </c>
      <c r="E17" s="35" t="s">
        <v>141</v>
      </c>
      <c r="F17" s="35">
        <v>109683</v>
      </c>
      <c r="G17" s="35" t="s">
        <v>94</v>
      </c>
      <c r="H17" s="35" t="s">
        <v>398</v>
      </c>
      <c r="I17" s="35">
        <v>4200309507</v>
      </c>
      <c r="K17" s="62">
        <v>45527</v>
      </c>
      <c r="L17" s="62">
        <v>45432</v>
      </c>
      <c r="M17" s="62">
        <v>45434</v>
      </c>
      <c r="N17" s="35" t="s">
        <v>503</v>
      </c>
      <c r="O17" s="35">
        <v>207</v>
      </c>
      <c r="P17" s="35" t="s">
        <v>292</v>
      </c>
      <c r="Q17" s="35">
        <v>97103</v>
      </c>
      <c r="R17" s="35" t="s">
        <v>595</v>
      </c>
      <c r="S17" s="62">
        <v>45432</v>
      </c>
    </row>
    <row r="18" spans="1:21" x14ac:dyDescent="0.25">
      <c r="A18" s="61" t="s">
        <v>427</v>
      </c>
      <c r="C18" s="35" t="s">
        <v>36</v>
      </c>
      <c r="D18" s="35" t="s">
        <v>146</v>
      </c>
      <c r="E18" s="35" t="s">
        <v>141</v>
      </c>
      <c r="F18" s="35">
        <v>107216</v>
      </c>
      <c r="G18" s="35" t="s">
        <v>280</v>
      </c>
      <c r="H18" s="35" t="s">
        <v>428</v>
      </c>
      <c r="I18" s="35" t="s">
        <v>429</v>
      </c>
      <c r="K18" s="62">
        <v>45363</v>
      </c>
      <c r="L18" s="62">
        <v>45433</v>
      </c>
      <c r="M18" s="62">
        <v>45435</v>
      </c>
      <c r="O18" s="35">
        <v>390</v>
      </c>
      <c r="P18" s="35" t="s">
        <v>292</v>
      </c>
      <c r="Q18" s="35">
        <v>97059</v>
      </c>
      <c r="R18" s="35" t="s">
        <v>599</v>
      </c>
      <c r="S18" s="62">
        <v>45434</v>
      </c>
    </row>
    <row r="19" spans="1:21" x14ac:dyDescent="0.25">
      <c r="A19" s="61" t="s">
        <v>415</v>
      </c>
      <c r="C19" s="35" t="s">
        <v>35</v>
      </c>
      <c r="D19" s="35" t="s">
        <v>153</v>
      </c>
      <c r="E19" s="35" t="s">
        <v>147</v>
      </c>
      <c r="F19" s="35">
        <v>109455</v>
      </c>
      <c r="G19" s="35" t="s">
        <v>414</v>
      </c>
      <c r="H19" s="35" t="s">
        <v>416</v>
      </c>
      <c r="I19" s="35" t="s">
        <v>67</v>
      </c>
      <c r="K19" s="62">
        <v>45429</v>
      </c>
      <c r="L19" s="62">
        <v>45433</v>
      </c>
      <c r="M19" s="62">
        <v>45434</v>
      </c>
      <c r="O19" s="35">
        <v>32</v>
      </c>
      <c r="P19" s="35" t="s">
        <v>384</v>
      </c>
      <c r="Q19" s="35" t="s">
        <v>600</v>
      </c>
      <c r="S19" s="62">
        <v>45434</v>
      </c>
    </row>
    <row r="20" spans="1:21" x14ac:dyDescent="0.25">
      <c r="A20" s="61" t="s">
        <v>417</v>
      </c>
      <c r="C20" s="35" t="s">
        <v>35</v>
      </c>
      <c r="D20" s="35" t="s">
        <v>153</v>
      </c>
      <c r="E20" s="35" t="s">
        <v>147</v>
      </c>
      <c r="F20" s="35">
        <v>109455</v>
      </c>
      <c r="G20" s="35" t="s">
        <v>414</v>
      </c>
      <c r="H20" s="35" t="s">
        <v>418</v>
      </c>
      <c r="I20" s="35" t="s">
        <v>67</v>
      </c>
      <c r="K20" s="62">
        <v>45429</v>
      </c>
      <c r="L20" s="62">
        <v>45433</v>
      </c>
      <c r="M20" s="62">
        <v>45434</v>
      </c>
      <c r="O20" s="35">
        <v>180</v>
      </c>
      <c r="P20" s="35" t="s">
        <v>384</v>
      </c>
      <c r="Q20" s="35" t="s">
        <v>600</v>
      </c>
      <c r="S20" s="62">
        <v>45434</v>
      </c>
    </row>
    <row r="21" spans="1:21" x14ac:dyDescent="0.25">
      <c r="A21" s="61" t="s">
        <v>419</v>
      </c>
      <c r="C21" s="35" t="s">
        <v>35</v>
      </c>
      <c r="D21" s="35" t="s">
        <v>153</v>
      </c>
      <c r="E21" s="35" t="s">
        <v>147</v>
      </c>
      <c r="F21" s="35">
        <v>109455</v>
      </c>
      <c r="G21" s="35" t="s">
        <v>414</v>
      </c>
      <c r="H21" s="35" t="s">
        <v>420</v>
      </c>
      <c r="I21" s="35" t="s">
        <v>67</v>
      </c>
      <c r="K21" s="62">
        <v>45429</v>
      </c>
      <c r="L21" s="62">
        <v>45433</v>
      </c>
      <c r="M21" s="62">
        <v>45434</v>
      </c>
      <c r="O21" s="35">
        <v>180</v>
      </c>
      <c r="P21" s="35" t="s">
        <v>384</v>
      </c>
      <c r="Q21" s="35" t="s">
        <v>600</v>
      </c>
      <c r="S21" s="62">
        <v>45434</v>
      </c>
    </row>
    <row r="22" spans="1:21" x14ac:dyDescent="0.25">
      <c r="A22" s="61" t="s">
        <v>412</v>
      </c>
      <c r="C22" s="35" t="s">
        <v>36</v>
      </c>
      <c r="D22" s="35" t="s">
        <v>140</v>
      </c>
      <c r="E22" s="35" t="s">
        <v>141</v>
      </c>
      <c r="F22" s="35">
        <v>109598</v>
      </c>
      <c r="G22" s="35" t="s">
        <v>112</v>
      </c>
      <c r="H22" s="35" t="s">
        <v>413</v>
      </c>
      <c r="I22" s="35">
        <v>10664</v>
      </c>
      <c r="K22" s="62">
        <v>45433</v>
      </c>
      <c r="M22" s="62">
        <v>45435</v>
      </c>
      <c r="O22" s="35">
        <v>15</v>
      </c>
      <c r="P22" s="35" t="s">
        <v>384</v>
      </c>
      <c r="Q22" s="35" t="s">
        <v>601</v>
      </c>
      <c r="S22" s="62">
        <v>45434</v>
      </c>
    </row>
    <row r="23" spans="1:21" x14ac:dyDescent="0.25">
      <c r="A23" s="61" t="s">
        <v>425</v>
      </c>
      <c r="D23" s="35" t="s">
        <v>153</v>
      </c>
      <c r="E23" s="35" t="s">
        <v>147</v>
      </c>
      <c r="F23" s="35">
        <v>110332</v>
      </c>
      <c r="G23" s="35" t="s">
        <v>424</v>
      </c>
      <c r="H23" s="35" t="s">
        <v>426</v>
      </c>
      <c r="I23" s="35" t="s">
        <v>67</v>
      </c>
      <c r="K23" s="62">
        <v>45434</v>
      </c>
      <c r="M23" s="62">
        <v>45436</v>
      </c>
      <c r="O23" s="35">
        <v>50</v>
      </c>
      <c r="P23" s="35" t="s">
        <v>384</v>
      </c>
      <c r="Q23" s="35" t="s">
        <v>607</v>
      </c>
      <c r="S23" s="62">
        <v>45434</v>
      </c>
    </row>
    <row r="24" spans="1:21" x14ac:dyDescent="0.25">
      <c r="A24" s="61" t="s">
        <v>422</v>
      </c>
      <c r="C24" s="35" t="s">
        <v>35</v>
      </c>
      <c r="D24" s="35" t="s">
        <v>153</v>
      </c>
      <c r="E24" s="35" t="s">
        <v>147</v>
      </c>
      <c r="F24" s="35">
        <v>106723</v>
      </c>
      <c r="G24" s="35" t="s">
        <v>421</v>
      </c>
      <c r="H24" s="35" t="s">
        <v>423</v>
      </c>
      <c r="I24" s="35" t="s">
        <v>67</v>
      </c>
      <c r="K24" s="62">
        <v>45387</v>
      </c>
      <c r="L24" s="62">
        <v>45434</v>
      </c>
      <c r="M24" s="62">
        <v>45436</v>
      </c>
      <c r="O24" s="35">
        <v>127</v>
      </c>
      <c r="P24" s="35" t="s">
        <v>384</v>
      </c>
      <c r="Q24" s="35" t="s">
        <v>608</v>
      </c>
      <c r="S24" s="62">
        <v>45434</v>
      </c>
    </row>
    <row r="25" spans="1:21" x14ac:dyDescent="0.25">
      <c r="A25" s="61" t="s">
        <v>408</v>
      </c>
      <c r="C25" s="35" t="s">
        <v>36</v>
      </c>
      <c r="D25" s="35" t="s">
        <v>140</v>
      </c>
      <c r="E25" s="35" t="s">
        <v>141</v>
      </c>
      <c r="F25" s="35">
        <v>110984</v>
      </c>
      <c r="G25" s="35" t="s">
        <v>112</v>
      </c>
      <c r="H25" s="35" t="s">
        <v>409</v>
      </c>
      <c r="I25" s="35">
        <v>4575187623</v>
      </c>
      <c r="J25" s="62">
        <v>45433</v>
      </c>
      <c r="K25" s="62">
        <v>45485</v>
      </c>
      <c r="L25" s="62">
        <v>45440</v>
      </c>
      <c r="M25" s="62">
        <v>45442</v>
      </c>
      <c r="O25" s="35">
        <v>34</v>
      </c>
      <c r="P25" s="35" t="s">
        <v>384</v>
      </c>
      <c r="Q25" s="35" t="s">
        <v>615</v>
      </c>
      <c r="S25" s="62">
        <v>45440</v>
      </c>
    </row>
    <row r="26" spans="1:21" x14ac:dyDescent="0.25">
      <c r="A26" s="61" t="s">
        <v>410</v>
      </c>
      <c r="C26" s="35" t="s">
        <v>36</v>
      </c>
      <c r="D26" s="35" t="s">
        <v>140</v>
      </c>
      <c r="E26" s="35" t="s">
        <v>141</v>
      </c>
      <c r="F26" s="35">
        <v>111312</v>
      </c>
      <c r="G26" s="35" t="s">
        <v>112</v>
      </c>
      <c r="H26" s="35" t="s">
        <v>409</v>
      </c>
      <c r="I26" s="35">
        <v>4575227052</v>
      </c>
      <c r="J26" s="62">
        <v>45433</v>
      </c>
      <c r="K26" s="62">
        <v>45485</v>
      </c>
      <c r="L26" s="62">
        <v>45440</v>
      </c>
      <c r="M26" s="62">
        <v>45442</v>
      </c>
      <c r="O26" s="35">
        <v>34</v>
      </c>
      <c r="P26" s="35" t="s">
        <v>384</v>
      </c>
      <c r="Q26" s="35" t="s">
        <v>616</v>
      </c>
      <c r="S26" s="62">
        <v>45440</v>
      </c>
    </row>
    <row r="27" spans="1:21" x14ac:dyDescent="0.25">
      <c r="A27" s="61" t="s">
        <v>411</v>
      </c>
      <c r="C27" s="35" t="s">
        <v>36</v>
      </c>
      <c r="D27" s="35" t="s">
        <v>140</v>
      </c>
      <c r="E27" s="35" t="s">
        <v>141</v>
      </c>
      <c r="F27" s="35">
        <v>111312</v>
      </c>
      <c r="G27" s="35" t="s">
        <v>112</v>
      </c>
      <c r="H27" s="35" t="s">
        <v>409</v>
      </c>
      <c r="I27" s="35">
        <v>4575227052</v>
      </c>
      <c r="J27" s="62">
        <v>45433</v>
      </c>
      <c r="K27" s="62">
        <v>45485</v>
      </c>
      <c r="L27" s="62">
        <v>45440</v>
      </c>
      <c r="M27" s="62">
        <v>45442</v>
      </c>
      <c r="O27" s="35">
        <v>34</v>
      </c>
      <c r="P27" s="35" t="s">
        <v>384</v>
      </c>
      <c r="Q27" s="35" t="s">
        <v>617</v>
      </c>
      <c r="S27" s="62">
        <v>45440</v>
      </c>
    </row>
    <row r="28" spans="1:21" ht="75" x14ac:dyDescent="0.25">
      <c r="A28" s="61" t="s">
        <v>382</v>
      </c>
      <c r="C28" s="35" t="s">
        <v>36</v>
      </c>
      <c r="D28" s="35" t="s">
        <v>140</v>
      </c>
      <c r="E28" s="35" t="s">
        <v>141</v>
      </c>
      <c r="F28" s="35">
        <v>102825</v>
      </c>
      <c r="G28" s="35" t="s">
        <v>112</v>
      </c>
      <c r="H28" s="35" t="s">
        <v>614</v>
      </c>
      <c r="I28" s="35">
        <v>4573206783</v>
      </c>
      <c r="J28" s="62">
        <v>45435</v>
      </c>
      <c r="K28" s="62">
        <v>45232</v>
      </c>
      <c r="L28" s="62">
        <v>45441</v>
      </c>
      <c r="M28" s="62">
        <v>45441</v>
      </c>
      <c r="O28" s="35">
        <v>1544</v>
      </c>
      <c r="P28" s="35" t="s">
        <v>620</v>
      </c>
      <c r="Q28" s="35" t="s">
        <v>382</v>
      </c>
      <c r="R28" s="35" t="s">
        <v>474</v>
      </c>
      <c r="S28" s="62">
        <v>45441</v>
      </c>
      <c r="T28" s="60" t="s">
        <v>621</v>
      </c>
      <c r="U28" s="35" t="s">
        <v>622</v>
      </c>
    </row>
    <row r="29" spans="1:21" x14ac:dyDescent="0.25">
      <c r="A29" s="61" t="s">
        <v>382</v>
      </c>
      <c r="C29" s="35" t="s">
        <v>36</v>
      </c>
      <c r="D29" s="35" t="s">
        <v>140</v>
      </c>
      <c r="E29" s="35" t="s">
        <v>141</v>
      </c>
      <c r="F29" s="35">
        <v>102825</v>
      </c>
      <c r="G29" s="35" t="s">
        <v>112</v>
      </c>
      <c r="H29" s="35" t="s">
        <v>614</v>
      </c>
      <c r="I29" s="35">
        <v>4573206783</v>
      </c>
      <c r="J29" s="62">
        <v>45435</v>
      </c>
      <c r="K29" s="62">
        <v>45232</v>
      </c>
      <c r="L29" s="62">
        <v>45441</v>
      </c>
      <c r="M29" s="62">
        <v>45441</v>
      </c>
      <c r="O29" s="35">
        <v>1544</v>
      </c>
      <c r="P29" s="35" t="s">
        <v>620</v>
      </c>
      <c r="Q29" s="35" t="s">
        <v>382</v>
      </c>
      <c r="R29" s="35" t="s">
        <v>622</v>
      </c>
      <c r="S29" s="62">
        <v>45441</v>
      </c>
    </row>
    <row r="30" spans="1:21" x14ac:dyDescent="0.25">
      <c r="A30" s="61" t="s">
        <v>455</v>
      </c>
      <c r="C30" s="35" t="s">
        <v>35</v>
      </c>
      <c r="D30" s="35" t="s">
        <v>153</v>
      </c>
      <c r="E30" s="35" t="s">
        <v>147</v>
      </c>
      <c r="F30" s="35">
        <v>110587</v>
      </c>
      <c r="G30" s="35" t="s">
        <v>454</v>
      </c>
      <c r="H30" s="35" t="s">
        <v>456</v>
      </c>
      <c r="I30" s="35" t="s">
        <v>67</v>
      </c>
      <c r="K30" s="62">
        <v>45442</v>
      </c>
      <c r="M30" s="62">
        <v>45443</v>
      </c>
      <c r="O30" s="35">
        <v>100</v>
      </c>
      <c r="P30" s="35" t="s">
        <v>384</v>
      </c>
      <c r="Q30" s="35" t="s">
        <v>625</v>
      </c>
      <c r="S30" s="62">
        <v>45442</v>
      </c>
    </row>
    <row r="31" spans="1:21" x14ac:dyDescent="0.25">
      <c r="A31" s="61" t="s">
        <v>438</v>
      </c>
      <c r="C31" s="35" t="s">
        <v>35</v>
      </c>
      <c r="D31" s="35" t="s">
        <v>153</v>
      </c>
      <c r="E31" s="35" t="s">
        <v>147</v>
      </c>
      <c r="F31" s="35">
        <v>108653</v>
      </c>
      <c r="G31" s="35" t="s">
        <v>439</v>
      </c>
      <c r="H31" s="35" t="s">
        <v>440</v>
      </c>
      <c r="I31" s="35" t="s">
        <v>67</v>
      </c>
      <c r="J31" s="62">
        <v>45436</v>
      </c>
      <c r="K31" s="62">
        <v>45440</v>
      </c>
      <c r="L31" s="62">
        <v>45443</v>
      </c>
      <c r="M31" s="62">
        <v>45446</v>
      </c>
      <c r="O31" s="35">
        <v>125</v>
      </c>
      <c r="P31" s="35" t="s">
        <v>384</v>
      </c>
      <c r="Q31" s="35" t="s">
        <v>631</v>
      </c>
      <c r="S31" s="62">
        <v>45443</v>
      </c>
    </row>
    <row r="32" spans="1:21" x14ac:dyDescent="0.25">
      <c r="A32" s="61" t="s">
        <v>441</v>
      </c>
      <c r="C32" s="35" t="s">
        <v>35</v>
      </c>
      <c r="D32" s="35" t="s">
        <v>153</v>
      </c>
      <c r="E32" s="35" t="s">
        <v>147</v>
      </c>
      <c r="F32" s="35">
        <v>108653</v>
      </c>
      <c r="G32" s="35" t="s">
        <v>439</v>
      </c>
      <c r="H32" s="35" t="s">
        <v>442</v>
      </c>
      <c r="I32" s="35" t="s">
        <v>67</v>
      </c>
      <c r="J32" s="62">
        <v>45436</v>
      </c>
      <c r="K32" s="62">
        <v>45440</v>
      </c>
      <c r="L32" s="62">
        <v>45443</v>
      </c>
      <c r="M32" s="62">
        <v>45446</v>
      </c>
      <c r="O32" s="35">
        <v>210</v>
      </c>
      <c r="P32" s="35" t="s">
        <v>384</v>
      </c>
      <c r="Q32" s="35" t="s">
        <v>631</v>
      </c>
      <c r="S32" s="62">
        <v>45443</v>
      </c>
    </row>
    <row r="33" spans="1:19" x14ac:dyDescent="0.25">
      <c r="A33" s="61" t="s">
        <v>443</v>
      </c>
      <c r="C33" s="35" t="s">
        <v>35</v>
      </c>
      <c r="D33" s="35" t="s">
        <v>153</v>
      </c>
      <c r="E33" s="35" t="s">
        <v>147</v>
      </c>
      <c r="F33" s="35">
        <v>108653</v>
      </c>
      <c r="G33" s="35" t="s">
        <v>439</v>
      </c>
      <c r="H33" s="35" t="s">
        <v>444</v>
      </c>
      <c r="I33" s="35" t="s">
        <v>67</v>
      </c>
      <c r="J33" s="62">
        <v>45436</v>
      </c>
      <c r="K33" s="62">
        <v>45440</v>
      </c>
      <c r="L33" s="62">
        <v>45443</v>
      </c>
      <c r="M33" s="62">
        <v>45446</v>
      </c>
      <c r="O33" s="35">
        <v>60</v>
      </c>
      <c r="P33" s="35" t="s">
        <v>384</v>
      </c>
      <c r="Q33" s="35" t="s">
        <v>631</v>
      </c>
      <c r="S33" s="62">
        <v>45443</v>
      </c>
    </row>
    <row r="34" spans="1:19" x14ac:dyDescent="0.25">
      <c r="A34" s="61" t="s">
        <v>445</v>
      </c>
      <c r="C34" s="35" t="s">
        <v>35</v>
      </c>
      <c r="D34" s="35" t="s">
        <v>153</v>
      </c>
      <c r="E34" s="35" t="s">
        <v>147</v>
      </c>
      <c r="F34" s="35">
        <v>108653</v>
      </c>
      <c r="G34" s="35" t="s">
        <v>439</v>
      </c>
      <c r="H34" s="35" t="s">
        <v>446</v>
      </c>
      <c r="I34" s="35" t="s">
        <v>67</v>
      </c>
      <c r="K34" s="62">
        <v>45440</v>
      </c>
      <c r="L34" s="62">
        <v>45443</v>
      </c>
      <c r="M34" s="62">
        <v>45446</v>
      </c>
      <c r="O34" s="35">
        <v>5</v>
      </c>
      <c r="P34" s="35" t="s">
        <v>384</v>
      </c>
      <c r="Q34" s="35" t="s">
        <v>631</v>
      </c>
      <c r="S34" s="62">
        <v>45443</v>
      </c>
    </row>
  </sheetData>
  <hyperlinks>
    <hyperlink ref="A2" r:id="rId1" xr:uid="{B10FB617-1DB3-4115-9CF2-AEC82C5E00AD}"/>
    <hyperlink ref="A3" r:id="rId2" xr:uid="{3CDE7B8B-1EA3-48F8-A9DB-DD88B4989A66}"/>
    <hyperlink ref="A4" r:id="rId3" xr:uid="{9CABA6C8-BCA1-4555-8008-39057B5183EA}"/>
    <hyperlink ref="A5" r:id="rId4" xr:uid="{6854522E-1B23-4332-ABF5-5366539F1B2F}"/>
    <hyperlink ref="A6" r:id="rId5" xr:uid="{5140F34E-2668-427E-8888-002F49A46B27}"/>
    <hyperlink ref="A7" r:id="rId6" xr:uid="{D652EE6B-6DEF-4BCF-9A96-FB35793BFB40}"/>
    <hyperlink ref="A8" r:id="rId7" xr:uid="{86C72554-C493-47FF-841E-DBE03F740442}"/>
    <hyperlink ref="A9" r:id="rId8" xr:uid="{2E99FB52-46C7-426B-85B6-68903ADDE8DA}"/>
    <hyperlink ref="A10" r:id="rId9" xr:uid="{D48A12AE-7320-45D2-8B16-B98A9137FACE}"/>
    <hyperlink ref="A11" r:id="rId10" xr:uid="{46E2A2C8-66D2-48CE-8ADA-8C2CE901ADE3}"/>
    <hyperlink ref="A12" r:id="rId11" xr:uid="{6D8B9193-FFCC-4DFB-B520-83A4C20CF709}"/>
    <hyperlink ref="A13" r:id="rId12" xr:uid="{711FB615-F8BF-4419-B56B-B4AA9BC89F99}"/>
    <hyperlink ref="A14" r:id="rId13" xr:uid="{0261AAC3-FFB2-4886-AFDD-CA33463E9D71}"/>
    <hyperlink ref="A15" r:id="rId14" xr:uid="{1DD0CEB4-0B74-4904-966F-FFE0B6B21B3A}"/>
    <hyperlink ref="A16" r:id="rId15" xr:uid="{019B479F-CFFB-442F-A78B-03E60BD4A772}"/>
    <hyperlink ref="A17" r:id="rId16" xr:uid="{29A70EDC-99C9-45F6-94D2-155B2F95C5F7}"/>
    <hyperlink ref="A18" r:id="rId17" xr:uid="{DE5AA883-D8CA-407B-9411-F6C7A63474F7}"/>
    <hyperlink ref="A19" r:id="rId18" xr:uid="{BE103178-9B4A-4833-AAB1-11EDC95916B1}"/>
    <hyperlink ref="A20" r:id="rId19" xr:uid="{A958656D-2B17-475F-BB13-1C149B6F3AC9}"/>
    <hyperlink ref="A21" r:id="rId20" xr:uid="{3FB17C8F-3334-4394-BAB7-703D3C6D9C3B}"/>
    <hyperlink ref="A22" r:id="rId21" xr:uid="{413490F7-85A7-4515-A2D9-575CCDEEC0F7}"/>
    <hyperlink ref="A23" r:id="rId22" xr:uid="{E0413E01-F782-4ABD-886B-87F8C604C158}"/>
    <hyperlink ref="A24" r:id="rId23" xr:uid="{308E4358-5CDF-4550-9222-8E2D768EA764}"/>
    <hyperlink ref="A25" r:id="rId24" xr:uid="{A40B8266-708F-4EFF-A8EC-5E68127CA8A8}"/>
    <hyperlink ref="A26" r:id="rId25" xr:uid="{12A4CBDF-A12C-40EA-B900-BC31390065E5}"/>
    <hyperlink ref="A27" r:id="rId26" xr:uid="{93C016CE-C0A8-43E8-960B-557BFF735B95}"/>
    <hyperlink ref="A28" r:id="rId27" xr:uid="{D3BBE358-1826-4E24-8E64-1A4815406D95}"/>
    <hyperlink ref="A29" r:id="rId28" xr:uid="{0F36DA31-CCF4-41CD-A403-B02BC684D17C}"/>
    <hyperlink ref="A30" r:id="rId29" xr:uid="{774984E4-EF9C-418F-B39D-3367F886AF3D}"/>
    <hyperlink ref="A31" r:id="rId30" xr:uid="{4BCDEE6A-4606-41FA-ADA3-E56C4BE7A10E}"/>
    <hyperlink ref="A32" r:id="rId31" xr:uid="{24403357-B5E7-405F-8149-C7FB6785BCA5}"/>
    <hyperlink ref="A33" r:id="rId32" xr:uid="{0A4F163D-04EB-4A15-AC5E-D79BF7E8450F}"/>
    <hyperlink ref="A34" r:id="rId33" xr:uid="{F0E82BAC-EC77-4B43-BEE1-02D928290EFD}"/>
  </hyperlinks>
  <pageMargins left="0.7" right="0.7" top="0.75" bottom="0.75" header="0.3" footer="0.3"/>
  <pageSetup orientation="portrait" r:id="rId3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95AC5-5CCD-4C33-B376-8B58FE7678C4}">
  <sheetPr codeName="Sheet5"/>
  <dimension ref="A1:U30"/>
  <sheetViews>
    <sheetView workbookViewId="0"/>
  </sheetViews>
  <sheetFormatPr defaultColWidth="17.42578125" defaultRowHeight="15" x14ac:dyDescent="0.25"/>
  <cols>
    <col min="1" max="1" width="15" style="35" bestFit="1" customWidth="1"/>
    <col min="2" max="2" width="9" style="35" bestFit="1" customWidth="1"/>
    <col min="3" max="3" width="10.42578125" style="35" bestFit="1" customWidth="1"/>
    <col min="4" max="4" width="7.42578125" style="35" bestFit="1" customWidth="1"/>
    <col min="5" max="5" width="9.7109375" style="35" bestFit="1" customWidth="1"/>
    <col min="6" max="6" width="11.7109375" style="35" bestFit="1" customWidth="1"/>
    <col min="7" max="7" width="17.28515625" style="35" bestFit="1" customWidth="1"/>
    <col min="8" max="8" width="50.85546875" style="35" bestFit="1" customWidth="1"/>
    <col min="9" max="9" width="11" style="35" bestFit="1" customWidth="1"/>
    <col min="10" max="10" width="14.42578125" style="35" bestFit="1" customWidth="1"/>
    <col min="11" max="11" width="14.7109375" style="35" bestFit="1" customWidth="1"/>
    <col min="12" max="12" width="13.7109375" style="35" bestFit="1" customWidth="1"/>
    <col min="13" max="13" width="9.42578125" style="35" bestFit="1" customWidth="1"/>
    <col min="14" max="14" width="65.5703125" style="35" bestFit="1" customWidth="1"/>
    <col min="15" max="15" width="9.5703125" style="35" bestFit="1" customWidth="1"/>
    <col min="16" max="16" width="27.42578125" style="35" bestFit="1" customWidth="1"/>
    <col min="17" max="17" width="17" style="35" bestFit="1" customWidth="1"/>
    <col min="18" max="18" width="33" style="35" bestFit="1" customWidth="1"/>
    <col min="19" max="19" width="13.28515625" style="35" bestFit="1" customWidth="1"/>
    <col min="20" max="20" width="15.42578125" style="35" bestFit="1" customWidth="1"/>
    <col min="21" max="21" width="16.140625" style="35" bestFit="1" customWidth="1"/>
    <col min="22" max="16384" width="17.42578125" style="35"/>
  </cols>
  <sheetData>
    <row r="1" spans="1:21" s="60" customFormat="1" ht="30" x14ac:dyDescent="0.25">
      <c r="A1" s="34" t="s">
        <v>395</v>
      </c>
      <c r="B1" s="34" t="s">
        <v>214</v>
      </c>
      <c r="C1" s="34" t="s">
        <v>215</v>
      </c>
      <c r="D1" s="34" t="s">
        <v>1</v>
      </c>
      <c r="E1" s="34" t="s">
        <v>2</v>
      </c>
      <c r="F1" s="34" t="s">
        <v>6</v>
      </c>
      <c r="G1" s="34" t="s">
        <v>7</v>
      </c>
      <c r="H1" s="34" t="s">
        <v>8</v>
      </c>
      <c r="I1" s="34" t="s">
        <v>9</v>
      </c>
      <c r="J1" s="34" t="s">
        <v>17</v>
      </c>
      <c r="K1" s="34" t="s">
        <v>21</v>
      </c>
      <c r="L1" s="34" t="s">
        <v>22</v>
      </c>
      <c r="M1" s="34" t="s">
        <v>396</v>
      </c>
      <c r="N1" s="34" t="s">
        <v>27</v>
      </c>
      <c r="O1" s="59" t="s">
        <v>265</v>
      </c>
      <c r="P1" s="34" t="s">
        <v>266</v>
      </c>
      <c r="Q1" s="34" t="s">
        <v>267</v>
      </c>
      <c r="R1" s="34" t="s">
        <v>268</v>
      </c>
      <c r="S1" s="34" t="s">
        <v>269</v>
      </c>
      <c r="T1" s="34" t="s">
        <v>618</v>
      </c>
      <c r="U1" s="34" t="s">
        <v>619</v>
      </c>
    </row>
    <row r="2" spans="1:21" x14ac:dyDescent="0.25">
      <c r="A2" s="61" t="s">
        <v>459</v>
      </c>
      <c r="C2" s="35" t="s">
        <v>36</v>
      </c>
      <c r="D2" s="35" t="s">
        <v>153</v>
      </c>
      <c r="E2" s="35" t="s">
        <v>147</v>
      </c>
      <c r="F2" s="35">
        <v>111128</v>
      </c>
      <c r="G2" s="35" t="s">
        <v>115</v>
      </c>
      <c r="H2" s="35" t="s">
        <v>460</v>
      </c>
      <c r="I2" s="35" t="s">
        <v>67</v>
      </c>
      <c r="J2" s="62">
        <v>45429</v>
      </c>
      <c r="K2" s="62">
        <v>45428</v>
      </c>
      <c r="L2" s="62">
        <v>45446</v>
      </c>
      <c r="M2" s="62">
        <v>45448</v>
      </c>
      <c r="O2" s="35">
        <v>40</v>
      </c>
      <c r="P2" s="35" t="s">
        <v>384</v>
      </c>
      <c r="Q2" s="63" t="s">
        <v>712</v>
      </c>
      <c r="S2" s="62">
        <v>45446</v>
      </c>
    </row>
    <row r="3" spans="1:21" x14ac:dyDescent="0.25">
      <c r="A3" s="61" t="s">
        <v>404</v>
      </c>
      <c r="C3" s="35" t="s">
        <v>36</v>
      </c>
      <c r="D3" s="35" t="s">
        <v>140</v>
      </c>
      <c r="E3" s="35" t="s">
        <v>141</v>
      </c>
      <c r="F3" s="35">
        <v>108651</v>
      </c>
      <c r="G3" s="35" t="s">
        <v>112</v>
      </c>
      <c r="H3" s="35" t="s">
        <v>405</v>
      </c>
      <c r="I3" s="35">
        <v>4574554197</v>
      </c>
      <c r="J3" s="62">
        <v>45435</v>
      </c>
      <c r="K3" s="62">
        <v>45439</v>
      </c>
      <c r="L3" s="62">
        <v>45448</v>
      </c>
      <c r="M3" s="62">
        <v>45450</v>
      </c>
      <c r="O3" s="35">
        <v>114</v>
      </c>
      <c r="P3" s="35" t="s">
        <v>384</v>
      </c>
      <c r="Q3" s="35" t="s">
        <v>686</v>
      </c>
      <c r="S3" s="62">
        <v>45448</v>
      </c>
    </row>
    <row r="4" spans="1:21" x14ac:dyDescent="0.25">
      <c r="A4" s="61" t="s">
        <v>392</v>
      </c>
      <c r="C4" s="35" t="s">
        <v>36</v>
      </c>
      <c r="D4" s="35" t="s">
        <v>146</v>
      </c>
      <c r="E4" s="35" t="s">
        <v>147</v>
      </c>
      <c r="F4" s="35">
        <v>112020</v>
      </c>
      <c r="G4" s="35" t="s">
        <v>391</v>
      </c>
      <c r="H4" s="35" t="s">
        <v>393</v>
      </c>
      <c r="I4" s="35" t="s">
        <v>67</v>
      </c>
      <c r="J4" s="62">
        <v>45447</v>
      </c>
      <c r="K4" s="62">
        <v>45456</v>
      </c>
      <c r="L4" s="62">
        <v>45448</v>
      </c>
      <c r="M4" s="62">
        <v>45453</v>
      </c>
      <c r="N4" s="35" t="s">
        <v>685</v>
      </c>
      <c r="O4" s="35">
        <v>58</v>
      </c>
      <c r="P4" s="35" t="s">
        <v>687</v>
      </c>
      <c r="Q4" s="35">
        <v>28403488</v>
      </c>
      <c r="R4" s="35" t="s">
        <v>688</v>
      </c>
      <c r="S4" s="62">
        <v>45448</v>
      </c>
    </row>
    <row r="5" spans="1:21" x14ac:dyDescent="0.25">
      <c r="A5" s="61" t="s">
        <v>475</v>
      </c>
      <c r="C5" s="35" t="s">
        <v>36</v>
      </c>
      <c r="D5" s="35" t="s">
        <v>146</v>
      </c>
      <c r="E5" s="35" t="s">
        <v>141</v>
      </c>
      <c r="F5" s="35">
        <v>105554</v>
      </c>
      <c r="G5" s="35" t="s">
        <v>278</v>
      </c>
      <c r="H5" s="35" t="s">
        <v>476</v>
      </c>
      <c r="I5" s="35" t="s">
        <v>67</v>
      </c>
      <c r="J5" s="62">
        <v>45447</v>
      </c>
      <c r="K5" s="62">
        <v>45411</v>
      </c>
      <c r="L5" s="62">
        <v>45449</v>
      </c>
      <c r="M5" s="62">
        <v>45453</v>
      </c>
      <c r="O5" s="35">
        <v>80</v>
      </c>
      <c r="P5" s="35" t="s">
        <v>384</v>
      </c>
      <c r="Q5" s="35" t="s">
        <v>693</v>
      </c>
      <c r="S5" s="62">
        <v>45449</v>
      </c>
    </row>
    <row r="6" spans="1:21" x14ac:dyDescent="0.25">
      <c r="A6" s="61" t="s">
        <v>477</v>
      </c>
      <c r="C6" s="35" t="s">
        <v>36</v>
      </c>
      <c r="D6" s="35" t="s">
        <v>146</v>
      </c>
      <c r="E6" s="35" t="s">
        <v>147</v>
      </c>
      <c r="F6" s="35">
        <v>105555</v>
      </c>
      <c r="G6" s="35" t="s">
        <v>278</v>
      </c>
      <c r="H6" s="35" t="s">
        <v>478</v>
      </c>
      <c r="I6" s="35" t="s">
        <v>67</v>
      </c>
      <c r="J6" s="62">
        <v>45447</v>
      </c>
      <c r="K6" s="62">
        <v>45399</v>
      </c>
      <c r="L6" s="62">
        <v>45449</v>
      </c>
      <c r="M6" s="62">
        <v>45453</v>
      </c>
      <c r="O6" s="35">
        <v>80</v>
      </c>
      <c r="P6" s="35" t="s">
        <v>384</v>
      </c>
      <c r="Q6" s="35" t="s">
        <v>693</v>
      </c>
      <c r="S6" s="62">
        <v>45449</v>
      </c>
    </row>
    <row r="7" spans="1:21" x14ac:dyDescent="0.25">
      <c r="A7" s="61" t="s">
        <v>480</v>
      </c>
      <c r="C7" s="35" t="s">
        <v>36</v>
      </c>
      <c r="D7" s="35" t="s">
        <v>146</v>
      </c>
      <c r="E7" s="35" t="s">
        <v>147</v>
      </c>
      <c r="F7" s="35">
        <v>103033</v>
      </c>
      <c r="G7" s="35" t="s">
        <v>278</v>
      </c>
      <c r="H7" s="35" t="s">
        <v>486</v>
      </c>
      <c r="I7" s="35" t="s">
        <v>67</v>
      </c>
      <c r="J7" s="62">
        <v>45447</v>
      </c>
      <c r="K7" s="62">
        <v>45336</v>
      </c>
      <c r="L7" s="62">
        <v>45449</v>
      </c>
      <c r="M7" s="62">
        <v>45454</v>
      </c>
      <c r="O7" s="35">
        <v>80</v>
      </c>
      <c r="P7" s="35" t="s">
        <v>694</v>
      </c>
      <c r="Q7" s="35" t="s">
        <v>695</v>
      </c>
      <c r="S7" s="62">
        <v>45449</v>
      </c>
    </row>
    <row r="8" spans="1:21" x14ac:dyDescent="0.25">
      <c r="A8" s="61" t="s">
        <v>481</v>
      </c>
      <c r="C8" s="35" t="s">
        <v>36</v>
      </c>
      <c r="D8" s="35" t="s">
        <v>146</v>
      </c>
      <c r="E8" s="35" t="s">
        <v>147</v>
      </c>
      <c r="F8" s="35">
        <v>103034</v>
      </c>
      <c r="G8" s="35" t="s">
        <v>278</v>
      </c>
      <c r="H8" s="35" t="s">
        <v>487</v>
      </c>
      <c r="I8" s="35" t="s">
        <v>67</v>
      </c>
      <c r="J8" s="62">
        <v>45447</v>
      </c>
      <c r="K8" s="62">
        <v>45449</v>
      </c>
      <c r="L8" s="62">
        <v>45449</v>
      </c>
      <c r="M8" s="62">
        <v>45454</v>
      </c>
      <c r="O8" s="35">
        <v>80</v>
      </c>
      <c r="P8" s="35" t="s">
        <v>694</v>
      </c>
      <c r="Q8" s="35" t="s">
        <v>696</v>
      </c>
      <c r="S8" s="62">
        <v>45449</v>
      </c>
    </row>
    <row r="9" spans="1:21" x14ac:dyDescent="0.25">
      <c r="A9" s="61" t="s">
        <v>482</v>
      </c>
      <c r="C9" s="35" t="s">
        <v>36</v>
      </c>
      <c r="D9" s="35" t="s">
        <v>146</v>
      </c>
      <c r="E9" s="35" t="s">
        <v>147</v>
      </c>
      <c r="F9" s="35">
        <v>103035</v>
      </c>
      <c r="G9" s="35" t="s">
        <v>278</v>
      </c>
      <c r="H9" s="35" t="s">
        <v>488</v>
      </c>
      <c r="I9" s="35" t="s">
        <v>67</v>
      </c>
      <c r="J9" s="62">
        <v>45447</v>
      </c>
      <c r="K9" s="62">
        <v>45449</v>
      </c>
      <c r="L9" s="62">
        <v>45449</v>
      </c>
      <c r="M9" s="62">
        <v>45454</v>
      </c>
      <c r="O9" s="35">
        <v>80</v>
      </c>
      <c r="P9" s="35" t="s">
        <v>694</v>
      </c>
      <c r="Q9" s="35" t="s">
        <v>697</v>
      </c>
      <c r="S9" s="62">
        <v>45449</v>
      </c>
    </row>
    <row r="10" spans="1:21" x14ac:dyDescent="0.25">
      <c r="A10" s="61" t="s">
        <v>464</v>
      </c>
      <c r="C10" s="35" t="s">
        <v>36</v>
      </c>
      <c r="D10" s="35" t="s">
        <v>140</v>
      </c>
      <c r="E10" s="35" t="s">
        <v>141</v>
      </c>
      <c r="F10" s="35">
        <v>109936</v>
      </c>
      <c r="G10" s="35" t="s">
        <v>463</v>
      </c>
      <c r="H10" s="35" t="s">
        <v>699</v>
      </c>
      <c r="I10" s="35">
        <v>4574928794</v>
      </c>
      <c r="J10" s="62">
        <v>45442</v>
      </c>
      <c r="K10" s="62">
        <v>45446</v>
      </c>
      <c r="L10" s="62">
        <v>45450</v>
      </c>
      <c r="M10" s="62">
        <v>45454</v>
      </c>
      <c r="O10" s="35">
        <v>49</v>
      </c>
      <c r="P10" s="35" t="s">
        <v>384</v>
      </c>
      <c r="Q10" s="35" t="s">
        <v>709</v>
      </c>
      <c r="S10" s="62">
        <v>45450</v>
      </c>
    </row>
    <row r="11" spans="1:21" x14ac:dyDescent="0.25">
      <c r="A11" s="61" t="s">
        <v>457</v>
      </c>
      <c r="C11" s="35" t="s">
        <v>35</v>
      </c>
      <c r="D11" s="35" t="s">
        <v>146</v>
      </c>
      <c r="E11" s="35" t="s">
        <v>147</v>
      </c>
      <c r="F11" s="35">
        <v>100660</v>
      </c>
      <c r="G11" s="35" t="s">
        <v>255</v>
      </c>
      <c r="H11" s="35" t="s">
        <v>701</v>
      </c>
      <c r="I11" s="35" t="s">
        <v>67</v>
      </c>
      <c r="J11" s="62">
        <v>45442</v>
      </c>
      <c r="K11" s="62">
        <v>45397</v>
      </c>
      <c r="L11" s="62">
        <v>45450</v>
      </c>
      <c r="M11" s="62">
        <v>45453</v>
      </c>
      <c r="O11" s="35">
        <v>300</v>
      </c>
      <c r="P11" s="35" t="s">
        <v>384</v>
      </c>
      <c r="Q11" s="35" t="s">
        <v>710</v>
      </c>
      <c r="S11" s="62">
        <v>45450</v>
      </c>
    </row>
    <row r="12" spans="1:21" x14ac:dyDescent="0.25">
      <c r="A12" s="61" t="s">
        <v>458</v>
      </c>
      <c r="C12" s="35" t="s">
        <v>35</v>
      </c>
      <c r="D12" s="35" t="s">
        <v>146</v>
      </c>
      <c r="E12" s="35" t="s">
        <v>147</v>
      </c>
      <c r="F12" s="35">
        <v>100660</v>
      </c>
      <c r="G12" s="35" t="s">
        <v>255</v>
      </c>
      <c r="H12" s="35" t="s">
        <v>700</v>
      </c>
      <c r="I12" s="35" t="s">
        <v>67</v>
      </c>
      <c r="J12" s="62">
        <v>45448</v>
      </c>
      <c r="K12" s="62">
        <v>45397</v>
      </c>
      <c r="L12" s="62">
        <v>45450</v>
      </c>
      <c r="M12" s="62">
        <v>45453</v>
      </c>
      <c r="O12" s="35">
        <v>40</v>
      </c>
      <c r="P12" s="35" t="s">
        <v>384</v>
      </c>
      <c r="Q12" s="35" t="s">
        <v>710</v>
      </c>
      <c r="S12" s="62">
        <v>45450</v>
      </c>
    </row>
    <row r="13" spans="1:21" x14ac:dyDescent="0.25">
      <c r="A13" s="61" t="s">
        <v>493</v>
      </c>
      <c r="C13" s="35" t="s">
        <v>36</v>
      </c>
      <c r="D13" s="35" t="s">
        <v>140</v>
      </c>
      <c r="E13" s="35" t="s">
        <v>141</v>
      </c>
      <c r="F13" s="35">
        <v>110522</v>
      </c>
      <c r="G13" s="35" t="s">
        <v>492</v>
      </c>
      <c r="H13" s="35" t="s">
        <v>702</v>
      </c>
      <c r="I13" s="35">
        <v>1408</v>
      </c>
      <c r="J13" s="62">
        <v>45443</v>
      </c>
      <c r="K13" s="62">
        <v>45455</v>
      </c>
      <c r="L13" s="62">
        <v>45453</v>
      </c>
      <c r="M13" s="62">
        <v>45453</v>
      </c>
      <c r="O13" s="35">
        <v>55</v>
      </c>
      <c r="P13" s="35" t="s">
        <v>713</v>
      </c>
      <c r="Q13" s="35" t="s">
        <v>714</v>
      </c>
      <c r="S13" s="62">
        <v>45453</v>
      </c>
    </row>
    <row r="14" spans="1:21" x14ac:dyDescent="0.25">
      <c r="A14" s="61" t="s">
        <v>461</v>
      </c>
      <c r="C14" s="35" t="s">
        <v>36</v>
      </c>
      <c r="D14" s="35" t="s">
        <v>140</v>
      </c>
      <c r="E14" s="35" t="s">
        <v>141</v>
      </c>
      <c r="F14" s="35">
        <v>111061</v>
      </c>
      <c r="G14" s="35" t="s">
        <v>260</v>
      </c>
      <c r="H14" s="35" t="s">
        <v>462</v>
      </c>
      <c r="I14" s="35">
        <v>379322</v>
      </c>
      <c r="J14" s="62">
        <v>45450</v>
      </c>
      <c r="K14" s="62">
        <v>45412</v>
      </c>
      <c r="L14" s="62">
        <v>45453</v>
      </c>
      <c r="M14" s="62">
        <v>45454</v>
      </c>
      <c r="O14" s="35">
        <v>31</v>
      </c>
      <c r="P14" s="35" t="s">
        <v>384</v>
      </c>
      <c r="Q14" s="35" t="s">
        <v>715</v>
      </c>
      <c r="S14" s="62">
        <v>45453</v>
      </c>
    </row>
    <row r="15" spans="1:21" x14ac:dyDescent="0.25">
      <c r="A15" s="61" t="s">
        <v>496</v>
      </c>
      <c r="C15" s="35" t="s">
        <v>35</v>
      </c>
      <c r="D15" s="35" t="s">
        <v>146</v>
      </c>
      <c r="E15" s="35" t="s">
        <v>147</v>
      </c>
      <c r="F15" s="35">
        <v>110483</v>
      </c>
      <c r="G15" s="35" t="s">
        <v>252</v>
      </c>
      <c r="H15" s="35" t="s">
        <v>698</v>
      </c>
      <c r="I15" s="35" t="s">
        <v>67</v>
      </c>
      <c r="J15" s="62">
        <v>45449</v>
      </c>
      <c r="K15" s="62">
        <v>45413</v>
      </c>
      <c r="L15" s="62">
        <v>45453</v>
      </c>
      <c r="M15" s="62">
        <v>45455</v>
      </c>
      <c r="N15" s="35" t="s">
        <v>708</v>
      </c>
      <c r="O15" s="35">
        <v>150</v>
      </c>
      <c r="P15" s="35" t="s">
        <v>716</v>
      </c>
      <c r="Q15" s="35">
        <v>106940</v>
      </c>
      <c r="R15" s="35" t="s">
        <v>717</v>
      </c>
      <c r="S15" s="62">
        <v>45453</v>
      </c>
    </row>
    <row r="16" spans="1:21" x14ac:dyDescent="0.25">
      <c r="A16" s="61" t="s">
        <v>434</v>
      </c>
      <c r="C16" s="35" t="s">
        <v>35</v>
      </c>
      <c r="D16" s="35" t="s">
        <v>140</v>
      </c>
      <c r="E16" s="35" t="s">
        <v>147</v>
      </c>
      <c r="F16" s="35">
        <v>104479</v>
      </c>
      <c r="G16" s="35" t="s">
        <v>120</v>
      </c>
      <c r="H16" s="35" t="s">
        <v>435</v>
      </c>
      <c r="I16" s="35" t="s">
        <v>67</v>
      </c>
      <c r="J16" s="62">
        <v>45474</v>
      </c>
      <c r="K16" s="62">
        <v>45266</v>
      </c>
      <c r="L16" s="62">
        <v>45462</v>
      </c>
      <c r="M16" s="62">
        <v>45464</v>
      </c>
      <c r="N16" s="35" t="s">
        <v>763</v>
      </c>
      <c r="O16" s="35">
        <v>1750</v>
      </c>
      <c r="P16" s="35" t="s">
        <v>791</v>
      </c>
      <c r="Q16" s="35">
        <v>111787</v>
      </c>
      <c r="R16" s="35" t="s">
        <v>792</v>
      </c>
      <c r="S16" s="62">
        <v>45462</v>
      </c>
    </row>
    <row r="17" spans="1:21" x14ac:dyDescent="0.25">
      <c r="A17" s="61" t="s">
        <v>484</v>
      </c>
      <c r="C17" s="35" t="s">
        <v>35</v>
      </c>
      <c r="D17" s="35" t="s">
        <v>140</v>
      </c>
      <c r="E17" s="35" t="s">
        <v>147</v>
      </c>
      <c r="F17" s="35">
        <v>105721</v>
      </c>
      <c r="G17" s="35" t="s">
        <v>120</v>
      </c>
      <c r="H17" s="35" t="s">
        <v>490</v>
      </c>
      <c r="I17" s="35" t="s">
        <v>67</v>
      </c>
      <c r="J17" s="62">
        <v>45474</v>
      </c>
      <c r="K17" s="62">
        <v>38131</v>
      </c>
      <c r="L17" s="62">
        <v>45462</v>
      </c>
      <c r="M17" s="62">
        <v>45464</v>
      </c>
      <c r="N17" s="35" t="s">
        <v>764</v>
      </c>
      <c r="O17" s="35">
        <v>3237</v>
      </c>
      <c r="P17" s="35" t="s">
        <v>791</v>
      </c>
      <c r="Q17" s="35">
        <v>111787</v>
      </c>
      <c r="R17" s="35" t="s">
        <v>792</v>
      </c>
      <c r="S17" s="62">
        <v>45463</v>
      </c>
      <c r="T17" s="35" t="s">
        <v>793</v>
      </c>
      <c r="U17" s="35" t="s">
        <v>794</v>
      </c>
    </row>
    <row r="18" spans="1:21" x14ac:dyDescent="0.25">
      <c r="A18" s="61" t="s">
        <v>430</v>
      </c>
      <c r="C18" s="35" t="s">
        <v>36</v>
      </c>
      <c r="D18" s="35" t="s">
        <v>140</v>
      </c>
      <c r="E18" s="35" t="s">
        <v>141</v>
      </c>
      <c r="F18" s="35">
        <v>104458</v>
      </c>
      <c r="G18" s="35" t="s">
        <v>112</v>
      </c>
      <c r="H18" s="35" t="s">
        <v>647</v>
      </c>
      <c r="I18" s="35">
        <v>12305886</v>
      </c>
      <c r="J18" s="62">
        <v>45440</v>
      </c>
      <c r="K18" s="62">
        <v>45281</v>
      </c>
      <c r="L18" s="62">
        <v>45464</v>
      </c>
      <c r="M18" s="62">
        <v>45468</v>
      </c>
      <c r="N18" s="35" t="s">
        <v>724</v>
      </c>
      <c r="O18" s="35">
        <v>398</v>
      </c>
      <c r="P18" s="35" t="s">
        <v>713</v>
      </c>
      <c r="Q18" s="35" t="s">
        <v>713</v>
      </c>
      <c r="R18" s="35" t="s">
        <v>799</v>
      </c>
      <c r="S18" s="62">
        <v>45463</v>
      </c>
    </row>
    <row r="19" spans="1:21" x14ac:dyDescent="0.25">
      <c r="A19" s="61" t="s">
        <v>431</v>
      </c>
      <c r="C19" s="35" t="s">
        <v>36</v>
      </c>
      <c r="D19" s="35" t="s">
        <v>140</v>
      </c>
      <c r="E19" s="35" t="s">
        <v>141</v>
      </c>
      <c r="F19" s="35">
        <v>104458</v>
      </c>
      <c r="G19" s="35" t="s">
        <v>112</v>
      </c>
      <c r="H19" s="35" t="s">
        <v>644</v>
      </c>
      <c r="I19" s="35">
        <v>12305886</v>
      </c>
      <c r="J19" s="62">
        <v>45440</v>
      </c>
      <c r="K19" s="62">
        <v>45341</v>
      </c>
      <c r="L19" s="62">
        <v>45464</v>
      </c>
      <c r="M19" s="62">
        <v>45468</v>
      </c>
      <c r="O19" s="35">
        <v>398</v>
      </c>
      <c r="P19" s="35" t="s">
        <v>713</v>
      </c>
      <c r="Q19" s="35" t="s">
        <v>713</v>
      </c>
      <c r="R19" s="35" t="s">
        <v>799</v>
      </c>
      <c r="S19" s="62">
        <v>45463</v>
      </c>
    </row>
    <row r="20" spans="1:21" x14ac:dyDescent="0.25">
      <c r="A20" s="61" t="s">
        <v>432</v>
      </c>
      <c r="C20" s="35" t="s">
        <v>36</v>
      </c>
      <c r="D20" s="35" t="s">
        <v>140</v>
      </c>
      <c r="E20" s="35" t="s">
        <v>141</v>
      </c>
      <c r="F20" s="35">
        <v>104458</v>
      </c>
      <c r="G20" s="35" t="s">
        <v>112</v>
      </c>
      <c r="H20" s="35" t="s">
        <v>645</v>
      </c>
      <c r="I20" s="35">
        <v>12305886</v>
      </c>
      <c r="J20" s="62">
        <v>45440</v>
      </c>
      <c r="K20" s="62">
        <v>45362</v>
      </c>
      <c r="L20" s="62">
        <v>45464</v>
      </c>
      <c r="M20" s="62">
        <v>45468</v>
      </c>
      <c r="O20" s="35">
        <v>398</v>
      </c>
      <c r="P20" s="35" t="s">
        <v>713</v>
      </c>
      <c r="Q20" s="35" t="s">
        <v>713</v>
      </c>
      <c r="R20" s="35" t="s">
        <v>799</v>
      </c>
      <c r="S20" s="62">
        <v>45463</v>
      </c>
    </row>
    <row r="21" spans="1:21" x14ac:dyDescent="0.25">
      <c r="A21" s="61" t="s">
        <v>433</v>
      </c>
      <c r="C21" s="35" t="s">
        <v>36</v>
      </c>
      <c r="D21" s="35" t="s">
        <v>140</v>
      </c>
      <c r="E21" s="35" t="s">
        <v>141</v>
      </c>
      <c r="F21" s="35">
        <v>104458</v>
      </c>
      <c r="G21" s="35" t="s">
        <v>112</v>
      </c>
      <c r="H21" s="35" t="s">
        <v>646</v>
      </c>
      <c r="I21" s="35">
        <v>12305886</v>
      </c>
      <c r="J21" s="62">
        <v>45440</v>
      </c>
      <c r="K21" s="62">
        <v>45387</v>
      </c>
      <c r="L21" s="62">
        <v>45464</v>
      </c>
      <c r="M21" s="62">
        <v>45468</v>
      </c>
      <c r="O21" s="35">
        <v>398</v>
      </c>
      <c r="P21" s="35" t="s">
        <v>713</v>
      </c>
      <c r="Q21" s="35" t="s">
        <v>713</v>
      </c>
      <c r="R21" s="35" t="s">
        <v>799</v>
      </c>
      <c r="S21" s="62">
        <v>45463</v>
      </c>
    </row>
    <row r="22" spans="1:21" ht="30" x14ac:dyDescent="0.25">
      <c r="A22" s="61" t="s">
        <v>470</v>
      </c>
      <c r="C22" s="35" t="s">
        <v>35</v>
      </c>
      <c r="D22" s="35" t="s">
        <v>146</v>
      </c>
      <c r="E22" s="35" t="s">
        <v>141</v>
      </c>
      <c r="F22" s="35">
        <v>108572</v>
      </c>
      <c r="G22" s="35" t="s">
        <v>124</v>
      </c>
      <c r="H22" s="60" t="s">
        <v>769</v>
      </c>
      <c r="I22" s="35">
        <v>63541</v>
      </c>
      <c r="J22" s="62">
        <v>45453</v>
      </c>
      <c r="K22" s="62">
        <v>45377</v>
      </c>
      <c r="L22" s="62">
        <v>45468</v>
      </c>
      <c r="M22" s="62">
        <v>45469</v>
      </c>
      <c r="O22" s="35">
        <v>225</v>
      </c>
      <c r="P22" s="35" t="s">
        <v>807</v>
      </c>
      <c r="Q22" s="35">
        <v>1455413</v>
      </c>
      <c r="S22" s="62">
        <v>45468</v>
      </c>
    </row>
    <row r="23" spans="1:21" x14ac:dyDescent="0.25">
      <c r="A23" s="61" t="s">
        <v>483</v>
      </c>
      <c r="C23" s="35" t="s">
        <v>35</v>
      </c>
      <c r="D23" s="35" t="s">
        <v>146</v>
      </c>
      <c r="E23" s="35" t="s">
        <v>141</v>
      </c>
      <c r="F23" s="35">
        <v>109674</v>
      </c>
      <c r="G23" s="35" t="s">
        <v>124</v>
      </c>
      <c r="H23" s="35" t="s">
        <v>489</v>
      </c>
      <c r="I23" s="35">
        <v>64205</v>
      </c>
      <c r="J23" s="62">
        <v>45474</v>
      </c>
      <c r="K23" s="62">
        <v>45411</v>
      </c>
      <c r="L23" s="62">
        <v>45468</v>
      </c>
      <c r="M23" s="62">
        <v>45469</v>
      </c>
      <c r="O23" s="35">
        <v>235</v>
      </c>
      <c r="P23" s="35" t="s">
        <v>807</v>
      </c>
      <c r="Q23" s="35">
        <v>1455413</v>
      </c>
      <c r="S23" s="62">
        <v>45468</v>
      </c>
    </row>
    <row r="24" spans="1:21" ht="30" x14ac:dyDescent="0.25">
      <c r="A24" s="61" t="s">
        <v>602</v>
      </c>
      <c r="C24" s="35" t="s">
        <v>35</v>
      </c>
      <c r="D24" s="35" t="s">
        <v>146</v>
      </c>
      <c r="F24" s="35">
        <v>112199</v>
      </c>
      <c r="G24" s="35" t="s">
        <v>124</v>
      </c>
      <c r="H24" s="60" t="s">
        <v>770</v>
      </c>
      <c r="I24" s="35">
        <v>65632</v>
      </c>
      <c r="J24" s="62">
        <v>45484</v>
      </c>
      <c r="K24" s="62">
        <v>45485</v>
      </c>
      <c r="L24" s="62">
        <v>45468</v>
      </c>
      <c r="M24" s="62">
        <v>45469</v>
      </c>
      <c r="O24" s="35">
        <v>225</v>
      </c>
      <c r="P24" s="35" t="s">
        <v>807</v>
      </c>
      <c r="Q24" s="35">
        <v>1455413</v>
      </c>
      <c r="S24" s="62">
        <v>45468</v>
      </c>
    </row>
    <row r="25" spans="1:21" x14ac:dyDescent="0.25">
      <c r="A25" s="61" t="s">
        <v>300</v>
      </c>
      <c r="C25" s="35" t="s">
        <v>36</v>
      </c>
      <c r="D25" s="35" t="s">
        <v>140</v>
      </c>
      <c r="E25" s="35" t="s">
        <v>141</v>
      </c>
      <c r="F25" s="35">
        <v>108774</v>
      </c>
      <c r="G25" s="35" t="s">
        <v>299</v>
      </c>
      <c r="H25" s="35" t="s">
        <v>704</v>
      </c>
      <c r="I25" s="35" t="s">
        <v>301</v>
      </c>
      <c r="J25" s="62">
        <v>45429</v>
      </c>
      <c r="K25" s="62">
        <v>45422</v>
      </c>
      <c r="L25" s="62">
        <v>45468</v>
      </c>
      <c r="M25" s="62">
        <v>45470</v>
      </c>
      <c r="N25" s="35" t="s">
        <v>806</v>
      </c>
      <c r="O25" s="35">
        <v>268</v>
      </c>
      <c r="P25" s="35" t="s">
        <v>808</v>
      </c>
      <c r="Q25" s="35" t="s">
        <v>809</v>
      </c>
      <c r="S25" s="62">
        <v>45468</v>
      </c>
    </row>
    <row r="26" spans="1:21" x14ac:dyDescent="0.25">
      <c r="A26" s="61" t="s">
        <v>449</v>
      </c>
      <c r="C26" s="35" t="s">
        <v>36</v>
      </c>
      <c r="D26" s="35" t="s">
        <v>140</v>
      </c>
      <c r="E26" s="35" t="s">
        <v>141</v>
      </c>
      <c r="F26" s="35">
        <v>111281</v>
      </c>
      <c r="G26" s="35" t="s">
        <v>299</v>
      </c>
      <c r="H26" s="35" t="s">
        <v>705</v>
      </c>
      <c r="I26" s="35">
        <v>2401032</v>
      </c>
      <c r="J26" s="62">
        <v>45448</v>
      </c>
      <c r="K26" s="62">
        <v>45441</v>
      </c>
      <c r="L26" s="62">
        <v>45468</v>
      </c>
      <c r="M26" s="62">
        <v>45470</v>
      </c>
      <c r="N26" s="35" t="s">
        <v>806</v>
      </c>
      <c r="O26" s="35">
        <v>412</v>
      </c>
      <c r="P26" s="35" t="s">
        <v>808</v>
      </c>
      <c r="Q26" s="35" t="s">
        <v>809</v>
      </c>
      <c r="S26" s="62">
        <v>45468</v>
      </c>
    </row>
    <row r="27" spans="1:21" x14ac:dyDescent="0.25">
      <c r="A27" s="61" t="s">
        <v>494</v>
      </c>
      <c r="C27" s="35" t="s">
        <v>36</v>
      </c>
      <c r="D27" s="35" t="s">
        <v>140</v>
      </c>
      <c r="E27" s="35" t="s">
        <v>141</v>
      </c>
      <c r="F27" s="35">
        <v>108315</v>
      </c>
      <c r="G27" s="35" t="s">
        <v>260</v>
      </c>
      <c r="H27" s="35" t="s">
        <v>707</v>
      </c>
      <c r="I27" s="35">
        <v>4574587085</v>
      </c>
      <c r="J27" s="62">
        <v>45463</v>
      </c>
      <c r="K27" s="62">
        <v>45434</v>
      </c>
      <c r="L27" s="62">
        <v>45468</v>
      </c>
      <c r="M27" s="62">
        <v>45469</v>
      </c>
      <c r="O27" s="35">
        <v>168</v>
      </c>
      <c r="P27" s="35" t="s">
        <v>384</v>
      </c>
      <c r="Q27" s="35" t="s">
        <v>813</v>
      </c>
      <c r="S27" s="62">
        <v>45468</v>
      </c>
    </row>
    <row r="28" spans="1:21" x14ac:dyDescent="0.25">
      <c r="A28" s="61" t="s">
        <v>514</v>
      </c>
      <c r="B28" s="35" t="s">
        <v>35</v>
      </c>
      <c r="C28" s="35" t="s">
        <v>36</v>
      </c>
      <c r="D28" s="35" t="s">
        <v>146</v>
      </c>
      <c r="F28" s="35">
        <v>101241</v>
      </c>
      <c r="G28" s="35" t="s">
        <v>388</v>
      </c>
      <c r="H28" s="35" t="s">
        <v>515</v>
      </c>
      <c r="I28" s="35" t="s">
        <v>67</v>
      </c>
      <c r="J28" s="62">
        <v>45455</v>
      </c>
      <c r="K28" s="62">
        <v>45475</v>
      </c>
      <c r="L28" s="62">
        <v>45469</v>
      </c>
      <c r="M28" s="62">
        <v>45471</v>
      </c>
      <c r="O28" s="35">
        <v>80</v>
      </c>
      <c r="P28" s="35" t="s">
        <v>384</v>
      </c>
      <c r="Q28" s="35" t="s">
        <v>835</v>
      </c>
      <c r="S28" s="62">
        <v>45469</v>
      </c>
    </row>
    <row r="29" spans="1:21" x14ac:dyDescent="0.25">
      <c r="A29" s="61" t="s">
        <v>533</v>
      </c>
      <c r="C29" s="35" t="s">
        <v>36</v>
      </c>
      <c r="D29" s="35" t="s">
        <v>146</v>
      </c>
      <c r="F29" s="35">
        <v>101242</v>
      </c>
      <c r="G29" s="35" t="s">
        <v>388</v>
      </c>
      <c r="H29" s="35" t="s">
        <v>534</v>
      </c>
      <c r="I29" s="35" t="s">
        <v>67</v>
      </c>
      <c r="J29" s="62">
        <v>45464</v>
      </c>
      <c r="K29" s="62">
        <v>45519</v>
      </c>
      <c r="L29" s="62">
        <v>45469</v>
      </c>
      <c r="M29" s="62">
        <v>45471</v>
      </c>
      <c r="O29" s="35">
        <v>80</v>
      </c>
      <c r="P29" s="35" t="s">
        <v>384</v>
      </c>
      <c r="Q29" s="35" t="s">
        <v>836</v>
      </c>
      <c r="S29" s="62">
        <v>45469</v>
      </c>
    </row>
    <row r="30" spans="1:21" x14ac:dyDescent="0.25">
      <c r="A30" s="61" t="s">
        <v>511</v>
      </c>
      <c r="C30" s="35" t="s">
        <v>35</v>
      </c>
      <c r="D30" s="35" t="s">
        <v>153</v>
      </c>
      <c r="F30" s="35">
        <v>111655</v>
      </c>
      <c r="G30" s="35" t="s">
        <v>510</v>
      </c>
      <c r="H30" s="35" t="s">
        <v>838</v>
      </c>
      <c r="I30" s="35" t="s">
        <v>67</v>
      </c>
      <c r="J30" s="62">
        <v>45456</v>
      </c>
      <c r="K30" s="62">
        <v>45471</v>
      </c>
      <c r="M30" s="62">
        <v>45471</v>
      </c>
      <c r="N30" s="35" t="s">
        <v>829</v>
      </c>
      <c r="O30" s="35">
        <v>130</v>
      </c>
      <c r="P30" s="35" t="s">
        <v>713</v>
      </c>
      <c r="Q30" s="35" t="s">
        <v>847</v>
      </c>
      <c r="S30" s="62">
        <v>45471</v>
      </c>
    </row>
  </sheetData>
  <hyperlinks>
    <hyperlink ref="A2" r:id="rId1" xr:uid="{EA99E640-D6BE-448A-B106-470138CC973F}"/>
    <hyperlink ref="A3" r:id="rId2" xr:uid="{19A4D757-B492-4AE1-A3DD-989DEEC455FB}"/>
    <hyperlink ref="A4" r:id="rId3" xr:uid="{3B763E30-01FB-48E6-81A9-CE8AA30E8248}"/>
    <hyperlink ref="A5" r:id="rId4" xr:uid="{CBD96B50-AF59-43B8-B4BB-ABF982613617}"/>
    <hyperlink ref="A6" r:id="rId5" xr:uid="{438BEBD7-C4C5-4440-B073-683E7FCDFBC9}"/>
    <hyperlink ref="A7" r:id="rId6" xr:uid="{C286E5E4-D9DF-46CC-A04D-7FD407D9B137}"/>
    <hyperlink ref="A8" r:id="rId7" xr:uid="{C181F5AD-7F83-47EF-A6EA-C95A8BD15E89}"/>
    <hyperlink ref="A9" r:id="rId8" xr:uid="{DB786B47-CD8D-4BDF-925A-C52B3FA4BD87}"/>
    <hyperlink ref="A10" r:id="rId9" xr:uid="{6359C338-8778-4F2D-B13D-672E6482474E}"/>
    <hyperlink ref="A11" r:id="rId10" xr:uid="{B9FBC719-C1E6-4387-ADF0-02BCC1FFEF6F}"/>
    <hyperlink ref="A12" r:id="rId11" xr:uid="{D09D79FD-1F03-4800-B47E-EB210392930E}"/>
    <hyperlink ref="A13" r:id="rId12" xr:uid="{9D903E14-13B6-47BD-BD6E-13723559368A}"/>
    <hyperlink ref="A14" r:id="rId13" xr:uid="{97C772CC-54E8-4CD6-852A-F9CDEBCEDEA9}"/>
    <hyperlink ref="A15" r:id="rId14" xr:uid="{17DB51B1-BC16-49B1-B269-282E305531DA}"/>
    <hyperlink ref="A16" r:id="rId15" xr:uid="{200371D0-BA26-4122-8845-CD194B7A6114}"/>
    <hyperlink ref="A17" r:id="rId16" xr:uid="{8FEA9A81-A01F-4540-9021-113E21E2E285}"/>
    <hyperlink ref="A18" r:id="rId17" xr:uid="{6C6AB56C-E5EE-495D-874B-6928109ECD77}"/>
    <hyperlink ref="A19" r:id="rId18" xr:uid="{9109F917-680D-4F05-8CAF-798106834B60}"/>
    <hyperlink ref="A20" r:id="rId19" xr:uid="{A249AE09-C14C-49B3-99C6-463FC6FE54FE}"/>
    <hyperlink ref="A21" r:id="rId20" xr:uid="{AB7777B4-F8F6-4FB3-9699-9B88E708BB46}"/>
    <hyperlink ref="A22" r:id="rId21" xr:uid="{D5F3F13D-E2FF-4E29-8356-C47399EAD74B}"/>
    <hyperlink ref="A23" r:id="rId22" xr:uid="{F5626E35-43AC-4173-843C-A5FC1FEB9E79}"/>
    <hyperlink ref="A24" r:id="rId23" xr:uid="{7D3B6F5F-6552-45DF-BB11-C93453D24450}"/>
    <hyperlink ref="A25" r:id="rId24" xr:uid="{7C2F5D36-E90C-4A08-8FCE-F82BBFA3EEE9}"/>
    <hyperlink ref="A26" r:id="rId25" xr:uid="{04ADC84C-640D-49AC-A4F3-1BCD2B1BC87B}"/>
    <hyperlink ref="A27" r:id="rId26" xr:uid="{D693A7A7-607E-4CE3-8FB4-BE10B8D07B4C}"/>
    <hyperlink ref="A28" r:id="rId27" xr:uid="{3EAB389E-B988-4049-A4D9-78A71DD986CE}"/>
    <hyperlink ref="A29" r:id="rId28" xr:uid="{7C1D404D-B9A7-4B92-A161-4964F82F8CD0}"/>
    <hyperlink ref="A30" r:id="rId29" xr:uid="{A00FEADB-A034-46E8-B085-D5A196DDD700}"/>
  </hyperlinks>
  <pageMargins left="0.7" right="0.7" top="0.75" bottom="0.75" header="0.3" footer="0.3"/>
  <pageSetup orientation="portrait" r:id="rId3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CB99-162A-46DF-ABD5-A14B534AACC5}">
  <sheetPr codeName="Sheet6"/>
  <dimension ref="A1:U24"/>
  <sheetViews>
    <sheetView workbookViewId="0">
      <selection activeCell="H22" sqref="H22"/>
    </sheetView>
  </sheetViews>
  <sheetFormatPr defaultColWidth="9.140625" defaultRowHeight="15" x14ac:dyDescent="0.25"/>
  <cols>
    <col min="1" max="1" width="14.5703125" style="35" bestFit="1" customWidth="1"/>
    <col min="2" max="2" width="9.42578125" style="35" bestFit="1" customWidth="1"/>
    <col min="3" max="3" width="5.7109375" style="35" bestFit="1" customWidth="1"/>
    <col min="4" max="4" width="7.42578125" style="35" bestFit="1" customWidth="1"/>
    <col min="5" max="5" width="9.7109375" style="35" bestFit="1" customWidth="1"/>
    <col min="6" max="6" width="11.7109375" style="35" bestFit="1" customWidth="1"/>
    <col min="7" max="7" width="18.28515625" style="35" bestFit="1" customWidth="1"/>
    <col min="8" max="8" width="48.42578125" style="35" bestFit="1" customWidth="1"/>
    <col min="9" max="9" width="18.7109375" style="35" bestFit="1" customWidth="1"/>
    <col min="10" max="10" width="9.42578125" style="35" bestFit="1" customWidth="1"/>
    <col min="11" max="12" width="10.42578125" style="35" bestFit="1" customWidth="1"/>
    <col min="13" max="13" width="9.42578125" style="35" bestFit="1" customWidth="1"/>
    <col min="14" max="14" width="60.7109375" style="35" bestFit="1" customWidth="1"/>
    <col min="15" max="15" width="14" style="35" bestFit="1" customWidth="1"/>
    <col min="16" max="16" width="21" style="35" bestFit="1" customWidth="1"/>
    <col min="17" max="17" width="13.42578125" style="35" bestFit="1" customWidth="1"/>
    <col min="18" max="18" width="41.7109375" style="35" bestFit="1" customWidth="1"/>
    <col min="19" max="19" width="13.28515625" style="35" bestFit="1" customWidth="1"/>
    <col min="20" max="20" width="24.85546875" style="35" bestFit="1" customWidth="1"/>
    <col min="21" max="21" width="22" style="35" bestFit="1" customWidth="1"/>
    <col min="22" max="16384" width="9.140625" style="35"/>
  </cols>
  <sheetData>
    <row r="1" spans="1:21" s="60" customFormat="1" ht="47.1" customHeight="1" x14ac:dyDescent="0.25">
      <c r="A1" s="34" t="s">
        <v>395</v>
      </c>
      <c r="B1" s="34" t="s">
        <v>859</v>
      </c>
      <c r="C1" s="34" t="s">
        <v>215</v>
      </c>
      <c r="D1" s="34" t="s">
        <v>1</v>
      </c>
      <c r="E1" s="34" t="s">
        <v>2</v>
      </c>
      <c r="F1" s="34" t="s">
        <v>6</v>
      </c>
      <c r="G1" s="34" t="s">
        <v>7</v>
      </c>
      <c r="H1" s="34" t="s">
        <v>8</v>
      </c>
      <c r="I1" s="34" t="s">
        <v>9</v>
      </c>
      <c r="J1" s="34" t="s">
        <v>17</v>
      </c>
      <c r="K1" s="34" t="s">
        <v>21</v>
      </c>
      <c r="L1" s="34" t="s">
        <v>22</v>
      </c>
      <c r="M1" s="34" t="s">
        <v>396</v>
      </c>
      <c r="N1" s="34" t="s">
        <v>27</v>
      </c>
      <c r="O1" s="59" t="s">
        <v>265</v>
      </c>
      <c r="P1" s="34" t="s">
        <v>266</v>
      </c>
      <c r="Q1" s="34" t="s">
        <v>267</v>
      </c>
      <c r="R1" s="34" t="s">
        <v>268</v>
      </c>
      <c r="S1" s="34" t="s">
        <v>269</v>
      </c>
      <c r="T1" s="34" t="s">
        <v>618</v>
      </c>
      <c r="U1" s="34" t="s">
        <v>619</v>
      </c>
    </row>
    <row r="2" spans="1:21" x14ac:dyDescent="0.25">
      <c r="A2" s="61" t="s">
        <v>436</v>
      </c>
      <c r="C2" s="35" t="s">
        <v>36</v>
      </c>
      <c r="D2" s="35" t="s">
        <v>140</v>
      </c>
      <c r="E2" s="35" t="s">
        <v>141</v>
      </c>
      <c r="F2" s="35">
        <v>111066</v>
      </c>
      <c r="G2" s="35" t="s">
        <v>112</v>
      </c>
      <c r="H2" s="35" t="s">
        <v>437</v>
      </c>
      <c r="I2" s="35">
        <v>4575085444</v>
      </c>
      <c r="J2" s="62">
        <v>45435</v>
      </c>
      <c r="K2" s="62">
        <v>45440</v>
      </c>
      <c r="L2" s="62">
        <v>45471</v>
      </c>
      <c r="M2" s="62">
        <v>45476</v>
      </c>
      <c r="O2" s="35">
        <v>28</v>
      </c>
      <c r="P2" s="35" t="s">
        <v>384</v>
      </c>
      <c r="Q2" s="35" t="s">
        <v>860</v>
      </c>
      <c r="S2" s="62">
        <v>45471</v>
      </c>
    </row>
    <row r="3" spans="1:21" x14ac:dyDescent="0.25">
      <c r="A3" s="61" t="s">
        <v>504</v>
      </c>
      <c r="C3" s="35" t="s">
        <v>36</v>
      </c>
      <c r="D3" s="35" t="s">
        <v>140</v>
      </c>
      <c r="F3" s="35">
        <v>108855</v>
      </c>
      <c r="G3" s="35" t="s">
        <v>112</v>
      </c>
      <c r="H3" s="35" t="s">
        <v>706</v>
      </c>
      <c r="I3" s="35">
        <v>4574713428</v>
      </c>
      <c r="J3" s="62">
        <v>45463</v>
      </c>
      <c r="K3" s="62">
        <v>45455</v>
      </c>
      <c r="L3" s="62">
        <v>45471</v>
      </c>
      <c r="M3" s="62">
        <v>45474</v>
      </c>
      <c r="O3" s="35">
        <v>80</v>
      </c>
      <c r="P3" s="35" t="s">
        <v>384</v>
      </c>
      <c r="Q3" s="35" t="s">
        <v>861</v>
      </c>
      <c r="S3" s="62">
        <v>45471</v>
      </c>
    </row>
    <row r="4" spans="1:21" x14ac:dyDescent="0.25">
      <c r="A4" s="61" t="s">
        <v>381</v>
      </c>
      <c r="C4" s="35" t="s">
        <v>36</v>
      </c>
      <c r="D4" s="35" t="s">
        <v>140</v>
      </c>
      <c r="E4" s="35" t="s">
        <v>141</v>
      </c>
      <c r="F4" s="35">
        <v>109893</v>
      </c>
      <c r="G4" s="35" t="s">
        <v>94</v>
      </c>
      <c r="H4" s="35" t="s">
        <v>742</v>
      </c>
      <c r="I4" s="35">
        <v>4200311328</v>
      </c>
      <c r="J4" s="62">
        <v>45422</v>
      </c>
      <c r="K4" s="62">
        <v>45426</v>
      </c>
      <c r="L4" s="62">
        <v>45474</v>
      </c>
      <c r="M4" s="62">
        <v>45474</v>
      </c>
      <c r="N4" s="35" t="s">
        <v>850</v>
      </c>
      <c r="O4" s="35">
        <v>231</v>
      </c>
      <c r="P4" s="35" t="s">
        <v>870</v>
      </c>
      <c r="Q4" s="35">
        <v>431818</v>
      </c>
      <c r="S4" s="62">
        <v>45474</v>
      </c>
    </row>
    <row r="5" spans="1:21" x14ac:dyDescent="0.25">
      <c r="A5" s="61" t="s">
        <v>484</v>
      </c>
      <c r="C5" s="35" t="s">
        <v>35</v>
      </c>
      <c r="D5" s="35" t="s">
        <v>140</v>
      </c>
      <c r="E5" s="35" t="s">
        <v>147</v>
      </c>
      <c r="F5" s="35">
        <v>105721</v>
      </c>
      <c r="G5" s="35" t="s">
        <v>120</v>
      </c>
      <c r="H5" s="60" t="s">
        <v>1048</v>
      </c>
      <c r="I5" s="35" t="s">
        <v>67</v>
      </c>
      <c r="J5" s="62">
        <v>45474</v>
      </c>
      <c r="K5" s="62">
        <v>38131</v>
      </c>
      <c r="L5" s="62">
        <v>45495</v>
      </c>
      <c r="M5" s="62">
        <v>45495</v>
      </c>
      <c r="N5" s="60" t="s">
        <v>1047</v>
      </c>
      <c r="O5" s="35">
        <v>3237</v>
      </c>
      <c r="P5" s="35" t="s">
        <v>870</v>
      </c>
      <c r="Q5" s="35">
        <v>116410</v>
      </c>
      <c r="R5" s="35" t="s">
        <v>474</v>
      </c>
      <c r="S5" s="62">
        <v>45474</v>
      </c>
      <c r="T5" s="35" t="s">
        <v>871</v>
      </c>
      <c r="U5" s="35" t="s">
        <v>872</v>
      </c>
    </row>
    <row r="6" spans="1:21" x14ac:dyDescent="0.25">
      <c r="A6" s="61" t="s">
        <v>516</v>
      </c>
      <c r="C6" s="35" t="s">
        <v>36</v>
      </c>
      <c r="D6" s="35" t="s">
        <v>140</v>
      </c>
      <c r="F6" s="35">
        <v>110925</v>
      </c>
      <c r="G6" s="35" t="s">
        <v>260</v>
      </c>
      <c r="H6" s="35" t="s">
        <v>517</v>
      </c>
      <c r="I6" s="35">
        <v>4575111376</v>
      </c>
      <c r="J6" s="62">
        <v>45470</v>
      </c>
      <c r="K6" s="62">
        <v>45483</v>
      </c>
      <c r="L6" s="62">
        <v>45475</v>
      </c>
      <c r="M6" s="62">
        <v>45481</v>
      </c>
      <c r="O6" s="35">
        <v>739</v>
      </c>
      <c r="P6" s="35" t="s">
        <v>870</v>
      </c>
      <c r="Q6" s="35">
        <v>431542</v>
      </c>
      <c r="S6" s="62">
        <v>45475</v>
      </c>
    </row>
    <row r="7" spans="1:21" x14ac:dyDescent="0.25">
      <c r="A7" s="61" t="s">
        <v>692</v>
      </c>
      <c r="C7" s="35" t="s">
        <v>36</v>
      </c>
      <c r="D7" s="35" t="s">
        <v>146</v>
      </c>
      <c r="F7" s="35">
        <v>112633</v>
      </c>
      <c r="G7" s="35" t="s">
        <v>123</v>
      </c>
      <c r="H7" s="35" t="s">
        <v>642</v>
      </c>
      <c r="I7" s="35" t="s">
        <v>643</v>
      </c>
      <c r="J7" s="62">
        <v>45476</v>
      </c>
      <c r="K7" s="62">
        <v>45519</v>
      </c>
      <c r="L7" s="62">
        <v>45475</v>
      </c>
      <c r="M7" s="62">
        <v>45481</v>
      </c>
      <c r="N7" s="35" t="s">
        <v>839</v>
      </c>
      <c r="O7" s="35">
        <v>60</v>
      </c>
      <c r="P7" s="35" t="s">
        <v>384</v>
      </c>
      <c r="Q7" s="35" t="s">
        <v>881</v>
      </c>
      <c r="S7" s="62">
        <v>45475</v>
      </c>
    </row>
    <row r="8" spans="1:21" x14ac:dyDescent="0.25">
      <c r="A8" s="61" t="s">
        <v>636</v>
      </c>
      <c r="C8" s="35" t="s">
        <v>36</v>
      </c>
      <c r="D8" s="35" t="s">
        <v>140</v>
      </c>
      <c r="F8" s="35">
        <v>112585</v>
      </c>
      <c r="G8" s="35" t="s">
        <v>112</v>
      </c>
      <c r="H8" s="35" t="s">
        <v>743</v>
      </c>
      <c r="I8" s="35">
        <v>4575468251</v>
      </c>
      <c r="J8" s="62">
        <v>45470</v>
      </c>
      <c r="K8" s="62">
        <v>45469</v>
      </c>
      <c r="L8" s="62">
        <v>45475</v>
      </c>
      <c r="M8" s="62">
        <v>45471</v>
      </c>
      <c r="N8" s="35" t="s">
        <v>93</v>
      </c>
      <c r="O8" s="35">
        <v>67</v>
      </c>
      <c r="P8" s="35" t="s">
        <v>384</v>
      </c>
      <c r="Q8" s="35" t="s">
        <v>882</v>
      </c>
      <c r="S8" s="62">
        <v>45475</v>
      </c>
    </row>
    <row r="9" spans="1:21" x14ac:dyDescent="0.25">
      <c r="A9" s="61" t="s">
        <v>637</v>
      </c>
      <c r="C9" s="35" t="s">
        <v>36</v>
      </c>
      <c r="D9" s="35" t="s">
        <v>140</v>
      </c>
      <c r="F9" s="35">
        <v>112586</v>
      </c>
      <c r="G9" s="35" t="s">
        <v>112</v>
      </c>
      <c r="H9" s="35" t="s">
        <v>744</v>
      </c>
      <c r="I9" s="35">
        <v>4575468251</v>
      </c>
      <c r="J9" s="62">
        <v>45470</v>
      </c>
      <c r="K9" s="62">
        <v>45469</v>
      </c>
      <c r="L9" s="62">
        <v>45475</v>
      </c>
      <c r="M9" s="62">
        <v>45471</v>
      </c>
      <c r="N9" s="35" t="s">
        <v>93</v>
      </c>
      <c r="O9" s="35">
        <v>67</v>
      </c>
      <c r="P9" s="35" t="s">
        <v>384</v>
      </c>
      <c r="Q9" s="35" t="s">
        <v>882</v>
      </c>
      <c r="S9" s="62">
        <v>45475</v>
      </c>
    </row>
    <row r="10" spans="1:21" x14ac:dyDescent="0.25">
      <c r="A10" s="61" t="s">
        <v>638</v>
      </c>
      <c r="C10" s="35" t="s">
        <v>36</v>
      </c>
      <c r="D10" s="35" t="s">
        <v>140</v>
      </c>
      <c r="F10" s="35">
        <v>112587</v>
      </c>
      <c r="G10" s="35" t="s">
        <v>112</v>
      </c>
      <c r="H10" s="35" t="s">
        <v>745</v>
      </c>
      <c r="I10" s="35">
        <v>4575468251</v>
      </c>
      <c r="J10" s="62">
        <v>45470</v>
      </c>
      <c r="K10" s="62">
        <v>45469</v>
      </c>
      <c r="L10" s="62">
        <v>45475</v>
      </c>
      <c r="M10" s="62">
        <v>45471</v>
      </c>
      <c r="N10" s="35" t="s">
        <v>93</v>
      </c>
      <c r="O10" s="35">
        <v>67</v>
      </c>
      <c r="P10" s="35" t="s">
        <v>384</v>
      </c>
      <c r="Q10" s="35" t="s">
        <v>883</v>
      </c>
      <c r="S10" s="62">
        <v>45475</v>
      </c>
    </row>
    <row r="11" spans="1:21" x14ac:dyDescent="0.25">
      <c r="A11" s="61" t="s">
        <v>639</v>
      </c>
      <c r="C11" s="35" t="s">
        <v>36</v>
      </c>
      <c r="D11" s="35" t="s">
        <v>140</v>
      </c>
      <c r="F11" s="35">
        <v>112588</v>
      </c>
      <c r="G11" s="35" t="s">
        <v>112</v>
      </c>
      <c r="H11" s="35" t="s">
        <v>746</v>
      </c>
      <c r="I11" s="35">
        <v>4575468251</v>
      </c>
      <c r="J11" s="62">
        <v>45470</v>
      </c>
      <c r="K11" s="62">
        <v>45469</v>
      </c>
      <c r="L11" s="62">
        <v>45475</v>
      </c>
      <c r="M11" s="62">
        <v>45471</v>
      </c>
      <c r="N11" s="35" t="s">
        <v>93</v>
      </c>
      <c r="O11" s="35">
        <v>67</v>
      </c>
      <c r="P11" s="35" t="s">
        <v>384</v>
      </c>
      <c r="Q11" s="35" t="s">
        <v>884</v>
      </c>
      <c r="S11" s="62">
        <v>45475</v>
      </c>
    </row>
    <row r="12" spans="1:21" x14ac:dyDescent="0.25">
      <c r="A12" s="61" t="s">
        <v>640</v>
      </c>
      <c r="C12" s="35" t="s">
        <v>36</v>
      </c>
      <c r="D12" s="35" t="s">
        <v>140</v>
      </c>
      <c r="F12" s="35">
        <v>112589</v>
      </c>
      <c r="G12" s="35" t="s">
        <v>112</v>
      </c>
      <c r="H12" s="35" t="s">
        <v>747</v>
      </c>
      <c r="I12" s="35">
        <v>4575468251</v>
      </c>
      <c r="J12" s="62">
        <v>45470</v>
      </c>
      <c r="K12" s="62">
        <v>45469</v>
      </c>
      <c r="L12" s="62">
        <v>45475</v>
      </c>
      <c r="M12" s="62">
        <v>45471</v>
      </c>
      <c r="N12" s="35" t="s">
        <v>93</v>
      </c>
      <c r="O12" s="35">
        <v>67</v>
      </c>
      <c r="P12" s="35" t="s">
        <v>384</v>
      </c>
      <c r="Q12" s="35" t="s">
        <v>885</v>
      </c>
      <c r="S12" s="62">
        <v>45475</v>
      </c>
    </row>
    <row r="13" spans="1:21" x14ac:dyDescent="0.25">
      <c r="A13" s="61" t="s">
        <v>451</v>
      </c>
      <c r="C13" s="35" t="s">
        <v>36</v>
      </c>
      <c r="D13" s="35" t="s">
        <v>140</v>
      </c>
      <c r="E13" s="35" t="s">
        <v>141</v>
      </c>
      <c r="F13" s="35">
        <v>111064</v>
      </c>
      <c r="G13" s="35" t="s">
        <v>450</v>
      </c>
      <c r="H13" s="35" t="s">
        <v>452</v>
      </c>
      <c r="I13" s="35" t="s">
        <v>453</v>
      </c>
      <c r="J13" s="62">
        <v>45442</v>
      </c>
      <c r="K13" s="62">
        <v>45442</v>
      </c>
      <c r="L13" s="62">
        <v>45481</v>
      </c>
      <c r="M13" s="62">
        <v>45481</v>
      </c>
      <c r="O13" s="35">
        <v>184</v>
      </c>
      <c r="P13" s="35" t="s">
        <v>889</v>
      </c>
      <c r="Q13" s="35" t="s">
        <v>890</v>
      </c>
      <c r="R13" s="35" t="s">
        <v>891</v>
      </c>
      <c r="S13" s="62">
        <v>45476</v>
      </c>
    </row>
    <row r="14" spans="1:21" x14ac:dyDescent="0.25">
      <c r="A14" s="61" t="s">
        <v>606</v>
      </c>
      <c r="B14" s="35" t="s">
        <v>35</v>
      </c>
      <c r="C14" s="35" t="s">
        <v>36</v>
      </c>
      <c r="D14" s="35" t="s">
        <v>153</v>
      </c>
      <c r="F14" s="35">
        <v>112175</v>
      </c>
      <c r="G14" s="35" t="s">
        <v>597</v>
      </c>
      <c r="H14" s="35" t="s">
        <v>757</v>
      </c>
      <c r="I14" s="35" t="s">
        <v>598</v>
      </c>
      <c r="J14" s="62">
        <v>45481</v>
      </c>
      <c r="K14" s="62">
        <v>45484</v>
      </c>
      <c r="L14" s="62">
        <v>45482</v>
      </c>
      <c r="M14" s="62">
        <v>45489</v>
      </c>
      <c r="O14" s="35">
        <v>83</v>
      </c>
      <c r="P14" s="35" t="s">
        <v>384</v>
      </c>
      <c r="Q14" s="35" t="s">
        <v>915</v>
      </c>
      <c r="S14" s="62">
        <v>45482</v>
      </c>
    </row>
    <row r="15" spans="1:21" x14ac:dyDescent="0.25">
      <c r="A15" s="61" t="s">
        <v>520</v>
      </c>
      <c r="B15" s="35" t="s">
        <v>35</v>
      </c>
      <c r="C15" s="35" t="s">
        <v>36</v>
      </c>
      <c r="D15" s="35" t="s">
        <v>146</v>
      </c>
      <c r="F15" s="35">
        <v>111200</v>
      </c>
      <c r="G15" s="35" t="s">
        <v>101</v>
      </c>
      <c r="H15" s="35" t="s">
        <v>521</v>
      </c>
      <c r="I15" s="35" t="s">
        <v>67</v>
      </c>
      <c r="J15" s="62">
        <v>45474</v>
      </c>
      <c r="K15" s="62">
        <v>45489</v>
      </c>
      <c r="L15" s="62">
        <v>45482</v>
      </c>
      <c r="M15" s="62">
        <v>45497</v>
      </c>
      <c r="N15" s="35" t="s">
        <v>899</v>
      </c>
      <c r="O15" s="35">
        <v>200</v>
      </c>
      <c r="P15" s="35" t="s">
        <v>870</v>
      </c>
      <c r="Q15" s="35">
        <v>437403</v>
      </c>
      <c r="S15" s="62">
        <v>45482</v>
      </c>
    </row>
    <row r="16" spans="1:21" x14ac:dyDescent="0.25">
      <c r="A16" s="61" t="s">
        <v>512</v>
      </c>
      <c r="C16" s="35" t="s">
        <v>36</v>
      </c>
      <c r="D16" s="35" t="s">
        <v>140</v>
      </c>
      <c r="F16" s="35">
        <v>107758</v>
      </c>
      <c r="G16" s="35" t="s">
        <v>112</v>
      </c>
      <c r="H16" s="35" t="s">
        <v>862</v>
      </c>
      <c r="I16" s="35">
        <v>4574132518</v>
      </c>
      <c r="J16" s="62">
        <v>45475</v>
      </c>
      <c r="K16" s="62">
        <v>45394</v>
      </c>
      <c r="L16" s="62">
        <v>45492</v>
      </c>
      <c r="M16" s="62">
        <v>45495</v>
      </c>
      <c r="N16" s="35" t="s">
        <v>863</v>
      </c>
      <c r="O16" s="35">
        <v>384</v>
      </c>
      <c r="P16" s="35" t="s">
        <v>384</v>
      </c>
      <c r="Q16" s="35" t="s">
        <v>924</v>
      </c>
      <c r="R16" s="35" t="s">
        <v>925</v>
      </c>
      <c r="S16" s="62">
        <v>45483</v>
      </c>
      <c r="T16" s="35" t="s">
        <v>926</v>
      </c>
      <c r="U16" s="35" t="s">
        <v>927</v>
      </c>
    </row>
    <row r="17" spans="1:19" x14ac:dyDescent="0.25">
      <c r="A17" s="61" t="s">
        <v>497</v>
      </c>
      <c r="B17" s="35" t="s">
        <v>36</v>
      </c>
      <c r="C17" s="35" t="s">
        <v>36</v>
      </c>
      <c r="D17" s="35" t="s">
        <v>146</v>
      </c>
      <c r="E17" s="35" t="s">
        <v>147</v>
      </c>
      <c r="F17" s="35">
        <v>101243</v>
      </c>
      <c r="G17" s="35" t="s">
        <v>388</v>
      </c>
      <c r="H17" s="35" t="s">
        <v>498</v>
      </c>
      <c r="I17" s="35" t="s">
        <v>67</v>
      </c>
      <c r="J17" s="62">
        <v>45469</v>
      </c>
      <c r="K17" s="62">
        <v>45561</v>
      </c>
      <c r="L17" s="62">
        <v>45484</v>
      </c>
      <c r="M17" s="62">
        <v>45485</v>
      </c>
      <c r="O17" s="35">
        <v>80</v>
      </c>
      <c r="P17" s="35" t="s">
        <v>384</v>
      </c>
      <c r="Q17" s="35" t="s">
        <v>934</v>
      </c>
      <c r="S17" s="62">
        <v>45484</v>
      </c>
    </row>
    <row r="18" spans="1:19" x14ac:dyDescent="0.25">
      <c r="A18" s="61" t="s">
        <v>830</v>
      </c>
      <c r="B18" s="35" t="s">
        <v>36</v>
      </c>
      <c r="C18" s="35" t="s">
        <v>36</v>
      </c>
      <c r="D18" s="35" t="s">
        <v>140</v>
      </c>
      <c r="F18" s="35">
        <v>113502</v>
      </c>
      <c r="G18" s="35" t="s">
        <v>112</v>
      </c>
      <c r="H18" s="60" t="s">
        <v>1049</v>
      </c>
      <c r="I18" s="35">
        <v>150247</v>
      </c>
      <c r="J18" s="62">
        <v>45484</v>
      </c>
      <c r="K18" s="62">
        <v>45485</v>
      </c>
      <c r="L18" s="62">
        <v>45488</v>
      </c>
      <c r="M18" s="62">
        <v>45488</v>
      </c>
      <c r="O18" s="35">
        <v>31</v>
      </c>
      <c r="P18" s="35" t="s">
        <v>713</v>
      </c>
      <c r="Q18" s="35" t="s">
        <v>713</v>
      </c>
      <c r="R18" s="35" t="s">
        <v>942</v>
      </c>
      <c r="S18" s="62">
        <v>45485</v>
      </c>
    </row>
    <row r="19" spans="1:19" x14ac:dyDescent="0.25">
      <c r="A19" s="61" t="s">
        <v>623</v>
      </c>
      <c r="C19" s="35" t="s">
        <v>36</v>
      </c>
      <c r="D19" s="35" t="s">
        <v>153</v>
      </c>
      <c r="E19" s="35" t="s">
        <v>147</v>
      </c>
      <c r="F19" s="35">
        <v>111093</v>
      </c>
      <c r="G19" s="35" t="s">
        <v>499</v>
      </c>
      <c r="H19" s="60" t="s">
        <v>1050</v>
      </c>
      <c r="I19" s="35" t="s">
        <v>67</v>
      </c>
      <c r="J19" s="62">
        <v>45483</v>
      </c>
      <c r="K19" s="62">
        <v>45474</v>
      </c>
      <c r="L19" s="62">
        <v>45488</v>
      </c>
      <c r="M19" s="62">
        <v>45490</v>
      </c>
      <c r="N19" s="35" t="s">
        <v>946</v>
      </c>
      <c r="O19" s="35">
        <v>320</v>
      </c>
      <c r="P19" s="35" t="s">
        <v>958</v>
      </c>
      <c r="Q19" s="35" t="s">
        <v>959</v>
      </c>
      <c r="S19" s="62">
        <v>45488</v>
      </c>
    </row>
    <row r="20" spans="1:19" x14ac:dyDescent="0.25">
      <c r="A20" s="61" t="s">
        <v>689</v>
      </c>
      <c r="B20" s="35" t="s">
        <v>36</v>
      </c>
      <c r="C20" s="35" t="s">
        <v>35</v>
      </c>
      <c r="D20" s="35" t="s">
        <v>153</v>
      </c>
      <c r="F20" s="35">
        <v>112730</v>
      </c>
      <c r="G20" s="35" t="s">
        <v>102</v>
      </c>
      <c r="H20" s="35" t="s">
        <v>691</v>
      </c>
      <c r="I20" s="35" t="s">
        <v>690</v>
      </c>
      <c r="J20" s="62">
        <v>45489</v>
      </c>
      <c r="K20" s="62">
        <v>45483</v>
      </c>
      <c r="L20" s="62">
        <v>45488</v>
      </c>
      <c r="M20" s="62">
        <v>45495</v>
      </c>
      <c r="N20" s="35" t="s">
        <v>951</v>
      </c>
      <c r="O20" s="35">
        <v>64</v>
      </c>
      <c r="P20" s="35" t="s">
        <v>384</v>
      </c>
      <c r="Q20" s="35" t="s">
        <v>960</v>
      </c>
      <c r="S20" s="62">
        <v>45488</v>
      </c>
    </row>
    <row r="21" spans="1:19" x14ac:dyDescent="0.25">
      <c r="A21" s="61" t="s">
        <v>611</v>
      </c>
      <c r="B21" s="35" t="s">
        <v>35</v>
      </c>
      <c r="C21" s="35" t="s">
        <v>36</v>
      </c>
      <c r="D21" s="35" t="s">
        <v>146</v>
      </c>
      <c r="F21" s="35">
        <v>112310</v>
      </c>
      <c r="G21" s="35" t="s">
        <v>123</v>
      </c>
      <c r="H21" s="60" t="s">
        <v>1051</v>
      </c>
      <c r="I21" s="35" t="s">
        <v>67</v>
      </c>
      <c r="J21" s="62">
        <v>45488</v>
      </c>
      <c r="K21" s="62">
        <v>45482</v>
      </c>
      <c r="L21" s="62">
        <v>45488</v>
      </c>
      <c r="M21" s="62">
        <v>45495</v>
      </c>
      <c r="N21" s="35" t="s">
        <v>949</v>
      </c>
      <c r="O21" s="35">
        <v>95</v>
      </c>
      <c r="P21" s="35" t="s">
        <v>384</v>
      </c>
      <c r="Q21" s="35" t="s">
        <v>961</v>
      </c>
      <c r="S21" s="62">
        <v>45488</v>
      </c>
    </row>
    <row r="22" spans="1:19" x14ac:dyDescent="0.25">
      <c r="A22" s="61" t="s">
        <v>527</v>
      </c>
      <c r="C22" s="35" t="s">
        <v>36</v>
      </c>
      <c r="D22" s="35" t="s">
        <v>146</v>
      </c>
      <c r="F22" s="35">
        <v>107541</v>
      </c>
      <c r="G22" s="35" t="s">
        <v>278</v>
      </c>
      <c r="H22" s="35" t="s">
        <v>953</v>
      </c>
      <c r="I22" s="35" t="s">
        <v>67</v>
      </c>
      <c r="J22" s="62">
        <v>45476</v>
      </c>
      <c r="K22" s="62">
        <v>45505</v>
      </c>
      <c r="L22" s="62">
        <v>45488</v>
      </c>
      <c r="M22" s="62">
        <v>45491</v>
      </c>
      <c r="N22" s="35" t="s">
        <v>948</v>
      </c>
      <c r="O22" s="35">
        <v>80</v>
      </c>
      <c r="P22" s="35" t="s">
        <v>384</v>
      </c>
      <c r="Q22" s="35" t="s">
        <v>962</v>
      </c>
      <c r="S22" s="62">
        <v>45488</v>
      </c>
    </row>
    <row r="23" spans="1:19" x14ac:dyDescent="0.25">
      <c r="A23" s="61" t="s">
        <v>528</v>
      </c>
      <c r="B23" s="35" t="s">
        <v>36</v>
      </c>
      <c r="C23" s="35" t="s">
        <v>36</v>
      </c>
      <c r="D23" s="35" t="s">
        <v>146</v>
      </c>
      <c r="F23" s="35">
        <v>107542</v>
      </c>
      <c r="G23" s="35" t="s">
        <v>278</v>
      </c>
      <c r="H23" s="35" t="s">
        <v>952</v>
      </c>
      <c r="I23" s="35" t="s">
        <v>67</v>
      </c>
      <c r="J23" s="62">
        <v>45476</v>
      </c>
      <c r="K23" s="62">
        <v>45505</v>
      </c>
      <c r="L23" s="62">
        <v>45488</v>
      </c>
      <c r="M23" s="62">
        <v>45491</v>
      </c>
      <c r="N23" s="35" t="s">
        <v>948</v>
      </c>
      <c r="O23" s="35">
        <v>80</v>
      </c>
      <c r="P23" s="35" t="s">
        <v>384</v>
      </c>
      <c r="Q23" s="35" t="s">
        <v>963</v>
      </c>
      <c r="S23" s="62">
        <v>45488</v>
      </c>
    </row>
    <row r="24" spans="1:19" x14ac:dyDescent="0.25">
      <c r="A24" s="61" t="s">
        <v>626</v>
      </c>
      <c r="B24" s="35" t="s">
        <v>35</v>
      </c>
      <c r="C24" s="35" t="s">
        <v>36</v>
      </c>
      <c r="D24" s="35" t="s">
        <v>146</v>
      </c>
      <c r="F24" s="35">
        <v>112473</v>
      </c>
      <c r="G24" s="35" t="s">
        <v>123</v>
      </c>
      <c r="H24" s="35" t="s">
        <v>758</v>
      </c>
      <c r="I24" s="35" t="s">
        <v>67</v>
      </c>
      <c r="J24" s="62">
        <v>45490</v>
      </c>
      <c r="K24" s="62">
        <v>45490</v>
      </c>
      <c r="M24" s="62">
        <v>45492</v>
      </c>
      <c r="N24" s="35" t="s">
        <v>948</v>
      </c>
      <c r="O24" s="35">
        <v>80</v>
      </c>
      <c r="P24" s="35" t="s">
        <v>384</v>
      </c>
      <c r="Q24" s="35" t="s">
        <v>1044</v>
      </c>
      <c r="S24" s="62">
        <v>45490</v>
      </c>
    </row>
  </sheetData>
  <hyperlinks>
    <hyperlink ref="A2" r:id="rId1" xr:uid="{36ADED46-2882-4883-BDD6-322A2D6FD2BF}"/>
    <hyperlink ref="A3" r:id="rId2" xr:uid="{8F6F9A05-EBEF-4DD5-8E66-019438243CE9}"/>
    <hyperlink ref="A4" r:id="rId3" xr:uid="{2DE9FB2E-1A6B-444F-ACA9-2AA00A262750}"/>
    <hyperlink ref="A5" r:id="rId4" xr:uid="{C8516E08-7958-49C4-95FB-EA415081EE1B}"/>
    <hyperlink ref="A6" r:id="rId5" xr:uid="{5A3F3958-EAE6-4B17-947E-9DFB9E5BAC95}"/>
    <hyperlink ref="A7" r:id="rId6" xr:uid="{63ABFD8E-B00C-4467-84C6-9941C6657F3E}"/>
    <hyperlink ref="A8" r:id="rId7" xr:uid="{276CEA12-B875-40BE-86EC-95DC7D483DE5}"/>
    <hyperlink ref="A9" r:id="rId8" xr:uid="{678A8EBE-5B5D-4410-B0E0-C4140498BA8D}"/>
    <hyperlink ref="A10" r:id="rId9" xr:uid="{BAF1B918-BCEE-4C89-A723-95F632377993}"/>
    <hyperlink ref="A11" r:id="rId10" xr:uid="{0869CFB6-BC07-480F-A749-67CAEADE17AD}"/>
    <hyperlink ref="A12" r:id="rId11" xr:uid="{107DDFA2-4FCA-4ADB-931B-BFD3D246D302}"/>
    <hyperlink ref="A13" r:id="rId12" xr:uid="{058BFBB3-AE9C-4911-85C8-D873D3977504}"/>
    <hyperlink ref="A14" r:id="rId13" xr:uid="{34298C0D-D05F-4984-BB76-31F333F95B29}"/>
    <hyperlink ref="A15" r:id="rId14" xr:uid="{E16D01B7-A669-4A01-B5CC-9F6DA4D010DE}"/>
    <hyperlink ref="A16" r:id="rId15" xr:uid="{01E24D25-00F7-49B9-B5BC-B214D36E0DFA}"/>
    <hyperlink ref="A17" r:id="rId16" xr:uid="{FBC07D64-6324-4598-90D3-85224B380BE8}"/>
    <hyperlink ref="A18" r:id="rId17" xr:uid="{825FC9E9-5C11-436D-8E3E-9095436B50FE}"/>
    <hyperlink ref="A19" r:id="rId18" xr:uid="{9B676FD6-A5BE-4C97-A6FD-DEE3BC413EA3}"/>
    <hyperlink ref="A20" r:id="rId19" xr:uid="{46D8E978-71BE-4A72-96F3-26E1E33F7218}"/>
    <hyperlink ref="A21" r:id="rId20" xr:uid="{32A72D92-DCA8-48F0-AE6A-ABB2782CE066}"/>
    <hyperlink ref="A22" r:id="rId21" xr:uid="{B2A73EE7-ACF3-44B4-B744-E9E4A541709E}"/>
    <hyperlink ref="A23" r:id="rId22" xr:uid="{D6642517-1714-4BD1-9E91-EF530DE100F3}"/>
    <hyperlink ref="A24" r:id="rId23" xr:uid="{8C395F9F-F868-4681-B2C1-CFDED0A380E7}"/>
  </hyperlinks>
  <pageMargins left="0.7" right="0.7" top="0.75" bottom="0.75" header="0.3" footer="0.3"/>
  <pageSetup orientation="portrait" r:id="rId2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Schedule</vt:lpstr>
      <vt:lpstr>!Button Info!</vt:lpstr>
      <vt:lpstr>VARS</vt:lpstr>
      <vt:lpstr>Shipped_May_2024</vt:lpstr>
      <vt:lpstr>Shipped_Jun_2024</vt:lpstr>
      <vt:lpstr>Shipped_Jul_2024</vt:lpstr>
      <vt:lpstr>Schedule!Print_Area</vt:lpstr>
      <vt:lpstr>Schedule!Print_Titles</vt:lpstr>
    </vt:vector>
  </TitlesOfParts>
  <Company>Barry Wehmiller Design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LaShundra (DG-STL-CTA)</dc:creator>
  <cp:lastModifiedBy>LaShundra Davis</cp:lastModifiedBy>
  <cp:lastPrinted>2024-07-17T15:31:28Z</cp:lastPrinted>
  <dcterms:created xsi:type="dcterms:W3CDTF">2024-04-03T20:10:46Z</dcterms:created>
  <dcterms:modified xsi:type="dcterms:W3CDTF">2024-08-23T21:29:14Z</dcterms:modified>
</cp:coreProperties>
</file>